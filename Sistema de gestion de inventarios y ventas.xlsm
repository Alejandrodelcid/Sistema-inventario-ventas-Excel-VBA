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RTAFOLIO EXCEL\"/>
    </mc:Choice>
  </mc:AlternateContent>
  <xr:revisionPtr revIDLastSave="0" documentId="13_ncr:1_{02893C1F-E0A5-458D-9FA8-C3EF397506CE}" xr6:coauthVersionLast="47" xr6:coauthVersionMax="47" xr10:uidLastSave="{00000000-0000-0000-0000-000000000000}"/>
  <bookViews>
    <workbookView xWindow="-108" yWindow="-108" windowWidth="23256" windowHeight="13176" xr2:uid="{D2009FAC-DD29-4C02-A618-95E32F93046A}"/>
  </bookViews>
  <sheets>
    <sheet name="INICIO" sheetId="5" r:id="rId1"/>
    <sheet name="INGRESO" sheetId="2" r:id="rId2"/>
    <sheet name="BASE" sheetId="3" r:id="rId3"/>
    <sheet name="NUEVO COD" sheetId="6" r:id="rId4"/>
    <sheet name="STOCK" sheetId="4" r:id="rId5"/>
    <sheet name="FACTURAR" sheetId="7" r:id="rId6"/>
    <sheet name="VENTAS" sheetId="9" r:id="rId7"/>
    <sheet name="EMPLEADO" sheetId="8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8" i="3" l="1"/>
  <c r="I47" i="3"/>
  <c r="C13" i="9"/>
  <c r="M13" i="9"/>
  <c r="N13" i="9"/>
  <c r="C12" i="9"/>
  <c r="M12" i="9"/>
  <c r="N12" i="9"/>
  <c r="C11" i="9"/>
  <c r="M11" i="9"/>
  <c r="N11" i="9"/>
  <c r="D25" i="8"/>
  <c r="E25" i="8" s="1"/>
  <c r="D20" i="8"/>
  <c r="M4" i="9"/>
  <c r="M5" i="9"/>
  <c r="M6" i="9"/>
  <c r="M7" i="9"/>
  <c r="M8" i="9"/>
  <c r="M9" i="9"/>
  <c r="M10" i="9"/>
  <c r="N4" i="9"/>
  <c r="N5" i="9"/>
  <c r="N6" i="9"/>
  <c r="N7" i="9"/>
  <c r="N8" i="9"/>
  <c r="N9" i="9"/>
  <c r="N10" i="9"/>
  <c r="C10" i="9"/>
  <c r="C9" i="9"/>
  <c r="C8" i="9"/>
  <c r="C7" i="9"/>
  <c r="C6" i="9"/>
  <c r="C5" i="9"/>
  <c r="I46" i="3"/>
  <c r="G14" i="4"/>
  <c r="E5" i="9" s="1"/>
  <c r="F5" i="9" s="1"/>
  <c r="I45" i="3"/>
  <c r="I44" i="3"/>
  <c r="I43" i="3"/>
  <c r="I42" i="3"/>
  <c r="I41" i="3"/>
  <c r="E16" i="7"/>
  <c r="E15" i="7"/>
  <c r="H5" i="7"/>
  <c r="E4" i="9"/>
  <c r="F4" i="9" s="1"/>
  <c r="H16" i="7"/>
  <c r="I16" i="7" s="1"/>
  <c r="H17" i="7"/>
  <c r="I17" i="7" s="1"/>
  <c r="H18" i="7"/>
  <c r="I18" i="7" s="1"/>
  <c r="H19" i="7"/>
  <c r="H15" i="7"/>
  <c r="I15" i="7" s="1"/>
  <c r="C4" i="9"/>
  <c r="H8" i="7"/>
  <c r="E5" i="7"/>
  <c r="I19" i="7"/>
  <c r="E17" i="7"/>
  <c r="E18" i="7"/>
  <c r="E19" i="7"/>
  <c r="G3" i="4"/>
  <c r="G4" i="4"/>
  <c r="E6" i="9" s="1"/>
  <c r="F6" i="9" s="1"/>
  <c r="G5" i="4"/>
  <c r="E7" i="9" s="1"/>
  <c r="F7" i="9" s="1"/>
  <c r="G6" i="4"/>
  <c r="E9" i="9" s="1"/>
  <c r="F9" i="9" s="1"/>
  <c r="G7" i="4"/>
  <c r="E8" i="9" s="1"/>
  <c r="F8" i="9" s="1"/>
  <c r="G8" i="4"/>
  <c r="E12" i="9" s="1"/>
  <c r="F12" i="9" s="1"/>
  <c r="G9" i="4"/>
  <c r="G10" i="4"/>
  <c r="G11" i="4"/>
  <c r="G12" i="4"/>
  <c r="E13" i="9" s="1"/>
  <c r="F13" i="9" s="1"/>
  <c r="D23" i="8" s="1"/>
  <c r="G13" i="4"/>
  <c r="I39" i="3"/>
  <c r="I38" i="3"/>
  <c r="I40" i="3"/>
  <c r="I37" i="3"/>
  <c r="I36" i="3"/>
  <c r="I35" i="3"/>
  <c r="I34" i="3"/>
  <c r="I33" i="3"/>
  <c r="I32" i="3"/>
  <c r="C17" i="2"/>
  <c r="C12" i="2"/>
  <c r="I31" i="3"/>
  <c r="I30" i="3"/>
  <c r="I29" i="3"/>
  <c r="I28" i="3"/>
  <c r="I27" i="3"/>
  <c r="I26" i="3"/>
  <c r="C7" i="2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E10" i="9" l="1"/>
  <c r="F10" i="9" s="1"/>
  <c r="E11" i="9"/>
  <c r="F11" i="9" s="1"/>
  <c r="D24" i="8" s="1"/>
  <c r="F9" i="4"/>
  <c r="F10" i="4"/>
  <c r="F3" i="4"/>
  <c r="F8" i="4"/>
  <c r="F7" i="4"/>
  <c r="F14" i="4"/>
  <c r="F6" i="4"/>
  <c r="F13" i="4"/>
  <c r="F5" i="4"/>
  <c r="F12" i="4"/>
  <c r="F4" i="4"/>
  <c r="F11" i="4"/>
  <c r="D22" i="8"/>
  <c r="D21" i="8"/>
  <c r="E20" i="8"/>
  <c r="G21" i="7"/>
  <c r="E23" i="8" l="1"/>
  <c r="E22" i="8"/>
  <c r="E21" i="8"/>
  <c r="E2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</author>
  </authors>
  <commentList>
    <comment ref="E11" authorId="0" shapeId="0" xr:uid="{D39C548E-5128-415C-8341-7595AF765746}">
      <text>
        <r>
          <rPr>
            <b/>
            <sz val="9"/>
            <color indexed="81"/>
            <rFont val="Tahoma"/>
            <family val="2"/>
          </rPr>
          <t xml:space="preserve">INFO:
</t>
        </r>
        <r>
          <rPr>
            <sz val="9"/>
            <color indexed="81"/>
            <rFont val="Tahoma"/>
            <family val="2"/>
          </rPr>
          <t xml:space="preserve">INGRESA EL GRUPO AL QUE PERTEJECERA ESTE ARTICULO </t>
        </r>
      </text>
    </comment>
    <comment ref="E12" authorId="0" shapeId="0" xr:uid="{7AA86CC5-53ED-402E-B78D-4EBCD7D2A6C7}">
      <text>
        <r>
          <rPr>
            <b/>
            <sz val="9"/>
            <color indexed="81"/>
            <rFont val="Tahoma"/>
            <family val="2"/>
          </rPr>
          <t xml:space="preserve">INFO:
</t>
        </r>
        <r>
          <rPr>
            <sz val="9"/>
            <color indexed="81"/>
            <rFont val="Tahoma"/>
            <family val="2"/>
          </rPr>
          <t xml:space="preserve">COLOCA EL MARQUE DE GANANCIA PARA ESTE PRODUCTO </t>
        </r>
      </text>
    </comment>
  </commentList>
</comments>
</file>

<file path=xl/sharedStrings.xml><?xml version="1.0" encoding="utf-8"?>
<sst xmlns="http://schemas.openxmlformats.org/spreadsheetml/2006/main" count="322" uniqueCount="124">
  <si>
    <t>PRODUCTO</t>
  </si>
  <si>
    <t>COD.PRODUCTO</t>
  </si>
  <si>
    <t>PROVEEDOR</t>
  </si>
  <si>
    <t>NO. FAC.</t>
  </si>
  <si>
    <t>FECHA DE FAC.</t>
  </si>
  <si>
    <t>CANTIDAD</t>
  </si>
  <si>
    <t>PRECIO/COMPRA</t>
  </si>
  <si>
    <t>% DE GANANCIA</t>
  </si>
  <si>
    <t>INGRESO DE PRODUCTOS</t>
  </si>
  <si>
    <t>COD. PRODUCTO</t>
  </si>
  <si>
    <t>TB001</t>
  </si>
  <si>
    <t>TB002</t>
  </si>
  <si>
    <t>TB003</t>
  </si>
  <si>
    <t>TB004</t>
  </si>
  <si>
    <t>TB005</t>
  </si>
  <si>
    <t>TB006</t>
  </si>
  <si>
    <t>TB007</t>
  </si>
  <si>
    <t>TB008</t>
  </si>
  <si>
    <t>CAMA KING</t>
  </si>
  <si>
    <t>CAMA MATRIMONIAL</t>
  </si>
  <si>
    <t>CAMA IMPERIAL</t>
  </si>
  <si>
    <t>CLOSET 4C</t>
  </si>
  <si>
    <t>CLOSET 2C</t>
  </si>
  <si>
    <t>COMEDOR 6S</t>
  </si>
  <si>
    <t>COMEDOR 4S</t>
  </si>
  <si>
    <t>ESPEJO C/COMPLETO</t>
  </si>
  <si>
    <t>OLYMPIA</t>
  </si>
  <si>
    <t>SUEÑOS</t>
  </si>
  <si>
    <t>MYD</t>
  </si>
  <si>
    <t>MARISOL</t>
  </si>
  <si>
    <t>COSTA AZUL</t>
  </si>
  <si>
    <t>FR MANUAL</t>
  </si>
  <si>
    <t>CAMAS</t>
  </si>
  <si>
    <t>ALMACEN</t>
  </si>
  <si>
    <t>SALA</t>
  </si>
  <si>
    <t>ACCESORIOS</t>
  </si>
  <si>
    <t>NO. FAC</t>
  </si>
  <si>
    <t xml:space="preserve">FECHA FACTURA </t>
  </si>
  <si>
    <t xml:space="preserve">% DE GANANCIA </t>
  </si>
  <si>
    <t>PRECIO /COMPRA</t>
  </si>
  <si>
    <t xml:space="preserve">PRECIO VENTA </t>
  </si>
  <si>
    <t>25/07/2026</t>
  </si>
  <si>
    <t>25/08/2026</t>
  </si>
  <si>
    <t>15/07/2026</t>
  </si>
  <si>
    <t>25/06/2026</t>
  </si>
  <si>
    <t>29/07/2026</t>
  </si>
  <si>
    <t>19/07/2026</t>
  </si>
  <si>
    <t>22/06/2026</t>
  </si>
  <si>
    <t>STOCK ACTUAL</t>
  </si>
  <si>
    <t>18/07/2026</t>
  </si>
  <si>
    <t xml:space="preserve">NOMBRE DEL PRODUCTO </t>
  </si>
  <si>
    <t>GRUPO</t>
  </si>
  <si>
    <t xml:space="preserve">DATOS DE PRODUCTO NUEVO </t>
  </si>
  <si>
    <t>TB009</t>
  </si>
  <si>
    <t>CAMA QUEEN</t>
  </si>
  <si>
    <t>FACENCO</t>
  </si>
  <si>
    <t>PRADO</t>
  </si>
  <si>
    <t>COCINA</t>
  </si>
  <si>
    <t>TB010</t>
  </si>
  <si>
    <t>ESTUFA 4H</t>
  </si>
  <si>
    <t>ESTUFA 6H</t>
  </si>
  <si>
    <t>TB011</t>
  </si>
  <si>
    <t>COD. EMPLEADO</t>
  </si>
  <si>
    <t>EMPLEADO</t>
  </si>
  <si>
    <t>NOMBRE CLIENTE</t>
  </si>
  <si>
    <t>NIT</t>
  </si>
  <si>
    <t xml:space="preserve">DIRECCION </t>
  </si>
  <si>
    <t>CEL.</t>
  </si>
  <si>
    <t xml:space="preserve">ARTICULOS </t>
  </si>
  <si>
    <t xml:space="preserve">PRODUCTO </t>
  </si>
  <si>
    <t xml:space="preserve">CANTIDAD </t>
  </si>
  <si>
    <t>PRECIO/UNI</t>
  </si>
  <si>
    <t>TOTAL A PAGAR</t>
  </si>
  <si>
    <t>SUB TOTAL</t>
  </si>
  <si>
    <t>PRECIO ACTUAL</t>
  </si>
  <si>
    <t xml:space="preserve">PRADO </t>
  </si>
  <si>
    <t>NOMBRE</t>
  </si>
  <si>
    <t>META MENSUAL</t>
  </si>
  <si>
    <t xml:space="preserve">ALCANCE DE META </t>
  </si>
  <si>
    <t xml:space="preserve">DIFERENCIA </t>
  </si>
  <si>
    <t xml:space="preserve">FACTURACION </t>
  </si>
  <si>
    <t>FECHA</t>
  </si>
  <si>
    <t>PRECIO UNITARIO</t>
  </si>
  <si>
    <t>NO. TRANSACCION</t>
  </si>
  <si>
    <t>CLIENTE</t>
  </si>
  <si>
    <t>DIRECCION</t>
  </si>
  <si>
    <t xml:space="preserve"> CEL</t>
  </si>
  <si>
    <t>FECHA DE TRANSACCION</t>
  </si>
  <si>
    <t>VENDEDOR</t>
  </si>
  <si>
    <t xml:space="preserve">SANTA LUCIA </t>
  </si>
  <si>
    <t>NOMBRE COMPLETO</t>
  </si>
  <si>
    <t>META DEL MES</t>
  </si>
  <si>
    <t>DATOS NUEVO EMPLEADO</t>
  </si>
  <si>
    <t>JACOBO MARCELO MELGAR OCTAVIO</t>
  </si>
  <si>
    <t>JA7349</t>
  </si>
  <si>
    <t>MARICELA CELESTE PAZ MESA</t>
  </si>
  <si>
    <t>MA6215</t>
  </si>
  <si>
    <t>RODOLFO JACIEL PEREZ SOTO</t>
  </si>
  <si>
    <t>RO7349</t>
  </si>
  <si>
    <t>LUIS DAVID SANCHEZ GIRON</t>
  </si>
  <si>
    <t>LU5800</t>
  </si>
  <si>
    <t>TB012</t>
  </si>
  <si>
    <t>20/08/2026</t>
  </si>
  <si>
    <t>LG</t>
  </si>
  <si>
    <t>TV 43' LED</t>
  </si>
  <si>
    <t>ENTRETENIMIENTO</t>
  </si>
  <si>
    <t>30/07/2026</t>
  </si>
  <si>
    <t>MARCO ALDANA</t>
  </si>
  <si>
    <t>58469-K</t>
  </si>
  <si>
    <t>ESCUINTLA</t>
  </si>
  <si>
    <t>FABIOLA LIBERTAD</t>
  </si>
  <si>
    <t>SIQUINALA</t>
  </si>
  <si>
    <t>MES</t>
  </si>
  <si>
    <t>AÑO</t>
  </si>
  <si>
    <t>SEPTIEMBRE</t>
  </si>
  <si>
    <t>MARIO BENJAMIN CHAVEZ TORRES</t>
  </si>
  <si>
    <t>MA7349</t>
  </si>
  <si>
    <t>JAVIER MARQUES</t>
  </si>
  <si>
    <t>MARTIN DE PAZ</t>
  </si>
  <si>
    <t>Registra las facturas de compras de mercaderia</t>
  </si>
  <si>
    <t xml:space="preserve">Creacion de un nuevo codigo para un nuevo articulo </t>
  </si>
  <si>
    <t>Visualizar tabla de catalogo de mercaderia con el stock actual disponible</t>
  </si>
  <si>
    <t>Genera una transaccion de salida de mercaderia</t>
  </si>
  <si>
    <t>Genera un codigo unico para cada empleado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</si>
</sst>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Q&quot;* #,##0.00_-;\-&quot;Q&quot;* #,##0.00_-;_-&quot;Q&quot;* &quot;-&quot;??_-;_-@_-"/>
    <numFmt numFmtId="164" formatCode="d/mm/yy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9" fontId="0" fillId="0" borderId="0" xfId="2" applyFont="1"/>
    <xf numFmtId="44" fontId="0" fillId="0" borderId="0" xfId="1" applyFont="1"/>
    <xf numFmtId="14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44" fontId="0" fillId="0" borderId="0" xfId="0" applyNumberFormat="1"/>
    <xf numFmtId="44" fontId="0" fillId="0" borderId="1" xfId="1" applyFont="1" applyBorder="1"/>
    <xf numFmtId="0" fontId="2" fillId="5" borderId="1" xfId="0" applyFont="1" applyFill="1" applyBorder="1"/>
    <xf numFmtId="0" fontId="0" fillId="0" borderId="1" xfId="0" applyBorder="1" applyProtection="1">
      <protection locked="0"/>
    </xf>
    <xf numFmtId="0" fontId="8" fillId="0" borderId="0" xfId="0" applyFont="1" applyAlignment="1">
      <alignment horizontal="center" vertical="center"/>
    </xf>
    <xf numFmtId="14" fontId="0" fillId="0" borderId="0" xfId="0" applyNumberFormat="1"/>
    <xf numFmtId="0" fontId="2" fillId="0" borderId="0" xfId="0" applyFont="1"/>
    <xf numFmtId="0" fontId="2" fillId="11" borderId="1" xfId="0" applyFont="1" applyFill="1" applyBorder="1"/>
    <xf numFmtId="0" fontId="0" fillId="0" borderId="0" xfId="0" applyProtection="1">
      <protection locked="0"/>
    </xf>
    <xf numFmtId="44" fontId="0" fillId="0" borderId="0" xfId="1" applyFont="1" applyProtection="1">
      <protection locked="0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0" fillId="12" borderId="0" xfId="0" applyFill="1"/>
    <xf numFmtId="0" fontId="0" fillId="13" borderId="0" xfId="0" applyFill="1"/>
    <xf numFmtId="0" fontId="0" fillId="12" borderId="0" xfId="0" applyFill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44" fontId="0" fillId="0" borderId="2" xfId="1" applyFont="1" applyFill="1" applyBorder="1" applyAlignment="1" applyProtection="1">
      <alignment horizontal="center"/>
      <protection locked="0"/>
    </xf>
    <xf numFmtId="44" fontId="0" fillId="0" borderId="4" xfId="1" applyFont="1" applyBorder="1" applyAlignment="1" applyProtection="1">
      <alignment horizontal="center"/>
      <protection locked="0"/>
    </xf>
    <xf numFmtId="9" fontId="0" fillId="0" borderId="2" xfId="2" applyFont="1" applyBorder="1" applyAlignment="1" applyProtection="1">
      <alignment horizontal="center"/>
    </xf>
    <xf numFmtId="9" fontId="0" fillId="0" borderId="4" xfId="2" applyFont="1" applyBorder="1" applyAlignment="1" applyProtection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4" xfId="0" applyNumberForma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9" fontId="0" fillId="0" borderId="1" xfId="2" applyFont="1" applyFill="1" applyBorder="1" applyAlignment="1" applyProtection="1">
      <alignment horizontal="center" vertical="center"/>
      <protection locked="0"/>
    </xf>
    <xf numFmtId="9" fontId="0" fillId="0" borderId="1" xfId="2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2" fillId="5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4" fontId="7" fillId="0" borderId="1" xfId="1" applyFont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4" fontId="0" fillId="7" borderId="1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44" fontId="0" fillId="0" borderId="1" xfId="1" applyFont="1" applyBorder="1" applyAlignment="1" applyProtection="1">
      <alignment horizontal="center"/>
      <protection locked="0"/>
    </xf>
    <xf numFmtId="0" fontId="2" fillId="10" borderId="1" xfId="0" applyFont="1" applyFill="1" applyBorder="1" applyAlignment="1">
      <alignment horizontal="center"/>
    </xf>
    <xf numFmtId="0" fontId="0" fillId="0" borderId="2" xfId="0" applyFill="1" applyBorder="1" applyAlignment="1" applyProtection="1">
      <alignment horizontal="center"/>
      <protection locked="0"/>
    </xf>
    <xf numFmtId="49" fontId="0" fillId="0" borderId="2" xfId="0" applyNumberFormat="1" applyFill="1" applyBorder="1" applyAlignment="1" applyProtection="1">
      <alignment horizontal="center"/>
      <protection locked="0"/>
    </xf>
    <xf numFmtId="44" fontId="0" fillId="0" borderId="0" xfId="1" applyNumberFormat="1" applyFont="1"/>
  </cellXfs>
  <cellStyles count="3">
    <cellStyle name="Moneda" xfId="1" builtinId="4"/>
    <cellStyle name="Normal" xfId="0" builtinId="0"/>
    <cellStyle name="Porcentaje" xfId="2" builtinId="5"/>
  </cellStyles>
  <dxfs count="11">
    <dxf>
      <numFmt numFmtId="34" formatCode="_-&quot;Q&quot;* #,##0.00_-;\-&quot;Q&quot;* #,##0.00_-;_-&quot;Q&quot;* &quot;-&quot;??_-;_-@_-"/>
    </dxf>
    <dxf>
      <protection locked="0" hidden="0"/>
    </dxf>
    <dxf>
      <numFmt numFmtId="0" formatCode="General"/>
    </dxf>
    <dxf>
      <numFmt numFmtId="19" formatCode="d/mm/yyyy"/>
    </dxf>
    <dxf>
      <numFmt numFmtId="19" formatCode="d/mm/yyyy"/>
    </dxf>
    <dxf>
      <numFmt numFmtId="34" formatCode="_-&quot;Q&quot;* #,##0.00_-;\-&quot;Q&quot;* #,##0.00_-;_-&quot;Q&quot;* &quot;-&quot;??_-;_-@_-"/>
    </dxf>
    <dxf>
      <numFmt numFmtId="0" formatCode="General"/>
    </dxf>
    <dxf>
      <numFmt numFmtId="34" formatCode="_-&quot;Q&quot;* #,##0.00_-;\-&quot;Q&quot;* #,##0.00_-;_-&quot;Q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numFmt numFmtId="19" formatCode="d/mm/yyyy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0F042"/>
      <color rgb="FFFA0000"/>
      <color rgb="FFADE785"/>
      <color rgb="FFF4583E"/>
      <color rgb="FFFFFFFF"/>
      <color rgb="FFAB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'NUEVO COD'!C8"/><Relationship Id="rId1" Type="http://schemas.openxmlformats.org/officeDocument/2006/relationships/hyperlink" Target="#INGRESO!C4"/><Relationship Id="rId5" Type="http://schemas.openxmlformats.org/officeDocument/2006/relationships/hyperlink" Target="#EMPLEADO!C4"/><Relationship Id="rId4" Type="http://schemas.openxmlformats.org/officeDocument/2006/relationships/hyperlink" Target="#FACTURAR!E4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640080</xdr:colOff>
      <xdr:row>2</xdr:row>
      <xdr:rowOff>44196</xdr:rowOff>
    </xdr:from>
    <xdr:to>
      <xdr:col>3</xdr:col>
      <xdr:colOff>114300</xdr:colOff>
      <xdr:row>6</xdr:row>
      <xdr:rowOff>106680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F84B17-B877-A0F6-5B24-4C6EB05773A7}"/>
            </a:ext>
          </a:extLst>
        </xdr:cNvPr>
        <xdr:cNvSpPr/>
      </xdr:nvSpPr>
      <xdr:spPr>
        <a:xfrm>
          <a:off x="640080" y="409956"/>
          <a:ext cx="1851660" cy="794004"/>
        </a:xfrm>
        <a:prstGeom prst="roundRect">
          <a:avLst/>
        </a:prstGeom>
        <a:solidFill>
          <a:srgbClr val="ADE78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ial Rounded MT Bold" panose="020F0704030504030204" pitchFamily="34" charset="0"/>
            </a:rPr>
            <a:t>INGRESAR PRODUCTO</a:t>
          </a:r>
        </a:p>
      </xdr:txBody>
    </xdr:sp>
    <xdr:clientData/>
  </xdr:twoCellAnchor>
  <xdr:twoCellAnchor>
    <xdr:from>
      <xdr:col>0</xdr:col>
      <xdr:colOff>640080</xdr:colOff>
      <xdr:row>7</xdr:row>
      <xdr:rowOff>28956</xdr:rowOff>
    </xdr:from>
    <xdr:to>
      <xdr:col>3</xdr:col>
      <xdr:colOff>114300</xdr:colOff>
      <xdr:row>11</xdr:row>
      <xdr:rowOff>91440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BB653D-BC9A-4CD8-B6D7-2F50A0884CF4}"/>
            </a:ext>
          </a:extLst>
        </xdr:cNvPr>
        <xdr:cNvSpPr/>
      </xdr:nvSpPr>
      <xdr:spPr>
        <a:xfrm>
          <a:off x="640080" y="1309116"/>
          <a:ext cx="1851660" cy="794004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 Rounded MT Bold" panose="020F0704030504030204" pitchFamily="34" charset="0"/>
            </a:rPr>
            <a:t>CREAR</a:t>
          </a:r>
          <a:r>
            <a:rPr lang="es-GT" sz="16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 Rounded MT Bold" panose="020F0704030504030204" pitchFamily="34" charset="0"/>
            </a:rPr>
            <a:t> NUEVO COGIDO</a:t>
          </a:r>
          <a:endParaRPr lang="es-GT" sz="16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0</xdr:col>
      <xdr:colOff>640080</xdr:colOff>
      <xdr:row>12</xdr:row>
      <xdr:rowOff>59436</xdr:rowOff>
    </xdr:from>
    <xdr:to>
      <xdr:col>3</xdr:col>
      <xdr:colOff>114300</xdr:colOff>
      <xdr:row>16</xdr:row>
      <xdr:rowOff>121920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F1678A-45CE-417D-BF9D-D9938EE94FFC}"/>
            </a:ext>
          </a:extLst>
        </xdr:cNvPr>
        <xdr:cNvSpPr/>
      </xdr:nvSpPr>
      <xdr:spPr>
        <a:xfrm>
          <a:off x="640080" y="2253996"/>
          <a:ext cx="1851660" cy="79400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FA000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ial Rounded MT Bold" panose="020F0704030504030204" pitchFamily="34" charset="0"/>
            </a:rPr>
            <a:t>CONSULTA</a:t>
          </a:r>
          <a:r>
            <a:rPr lang="es-GT" sz="1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rgbClr val="FA000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ial Rounded MT Bold" panose="020F0704030504030204" pitchFamily="34" charset="0"/>
            </a:rPr>
            <a:t> STOCK</a:t>
          </a:r>
          <a:endParaRPr lang="es-GT" sz="1800" b="1" cap="none" spc="0">
            <a:ln w="9525">
              <a:solidFill>
                <a:schemeClr val="bg1"/>
              </a:solidFill>
              <a:prstDash val="solid"/>
            </a:ln>
            <a:solidFill>
              <a:srgbClr val="FA000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0</xdr:col>
      <xdr:colOff>662940</xdr:colOff>
      <xdr:row>17</xdr:row>
      <xdr:rowOff>68580</xdr:rowOff>
    </xdr:from>
    <xdr:to>
      <xdr:col>3</xdr:col>
      <xdr:colOff>137160</xdr:colOff>
      <xdr:row>21</xdr:row>
      <xdr:rowOff>131064</xdr:rowOff>
    </xdr:to>
    <xdr:sp macro="" textlink="">
      <xdr:nvSpPr>
        <xdr:cNvPr id="6" name="Rectángulo: esquinas redondeada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6A6A764-052F-44CE-92E2-4F08ECE146B9}"/>
            </a:ext>
          </a:extLst>
        </xdr:cNvPr>
        <xdr:cNvSpPr/>
      </xdr:nvSpPr>
      <xdr:spPr>
        <a:xfrm>
          <a:off x="662940" y="3177540"/>
          <a:ext cx="1851660" cy="794004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 b="1" cap="none" spc="0">
              <a:ln w="9525">
                <a:solidFill>
                  <a:schemeClr val="tx1"/>
                </a:solidFill>
                <a:prstDash val="solid"/>
              </a:ln>
              <a:solidFill>
                <a:srgbClr val="F0F042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ial Rounded MT Bold" panose="020F0704030504030204" pitchFamily="34" charset="0"/>
            </a:rPr>
            <a:t>CREAR</a:t>
          </a:r>
          <a:r>
            <a:rPr lang="es-GT" sz="1800" b="1" cap="none" spc="0" baseline="0">
              <a:ln w="9525">
                <a:solidFill>
                  <a:schemeClr val="tx1"/>
                </a:solidFill>
                <a:prstDash val="solid"/>
              </a:ln>
              <a:solidFill>
                <a:srgbClr val="F0F042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ial Rounded MT Bold" panose="020F0704030504030204" pitchFamily="34" charset="0"/>
            </a:rPr>
            <a:t> REGISTRO</a:t>
          </a:r>
        </a:p>
      </xdr:txBody>
    </xdr:sp>
    <xdr:clientData/>
  </xdr:twoCellAnchor>
  <xdr:twoCellAnchor>
    <xdr:from>
      <xdr:col>0</xdr:col>
      <xdr:colOff>670560</xdr:colOff>
      <xdr:row>22</xdr:row>
      <xdr:rowOff>60960</xdr:rowOff>
    </xdr:from>
    <xdr:to>
      <xdr:col>3</xdr:col>
      <xdr:colOff>144780</xdr:colOff>
      <xdr:row>26</xdr:row>
      <xdr:rowOff>123444</xdr:rowOff>
    </xdr:to>
    <xdr:sp macro="" textlink="">
      <xdr:nvSpPr>
        <xdr:cNvPr id="7" name="Rectángulo: esquinas redondeada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789AF9-909E-4655-B3FE-B4A2EE23D86A}"/>
            </a:ext>
          </a:extLst>
        </xdr:cNvPr>
        <xdr:cNvSpPr/>
      </xdr:nvSpPr>
      <xdr:spPr>
        <a:xfrm>
          <a:off x="670560" y="4084320"/>
          <a:ext cx="1851660" cy="79400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>
              <a:solidFill>
                <a:srgbClr val="AB0000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CREAR</a:t>
          </a:r>
          <a:r>
            <a:rPr lang="es-GT" sz="1800" baseline="0">
              <a:solidFill>
                <a:srgbClr val="AB0000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 EMPLEADO</a:t>
          </a:r>
          <a:endParaRPr lang="es-GT" sz="1800">
            <a:solidFill>
              <a:srgbClr val="AB0000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289560</xdr:colOff>
      <xdr:row>2</xdr:row>
      <xdr:rowOff>15240</xdr:rowOff>
    </xdr:from>
    <xdr:to>
      <xdr:col>6</xdr:col>
      <xdr:colOff>281940</xdr:colOff>
      <xdr:row>5</xdr:row>
      <xdr:rowOff>91440</xdr:rowOff>
    </xdr:to>
    <xdr:sp macro="[0]!INGRE_PRODUCTO.INGRE_PRODU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B52BD98-FFD1-07FB-F805-81D2E44805C0}"/>
            </a:ext>
          </a:extLst>
        </xdr:cNvPr>
        <xdr:cNvSpPr/>
      </xdr:nvSpPr>
      <xdr:spPr>
        <a:xfrm>
          <a:off x="4251960" y="381000"/>
          <a:ext cx="1577340" cy="62484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GT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INGRESAR</a:t>
          </a:r>
          <a:r>
            <a:rPr lang="es-GT" sz="11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PRODUCTO </a:t>
          </a:r>
          <a:endParaRPr lang="es-GT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548640</xdr:colOff>
      <xdr:row>10</xdr:row>
      <xdr:rowOff>114300</xdr:rowOff>
    </xdr:from>
    <xdr:to>
      <xdr:col>6</xdr:col>
      <xdr:colOff>15240</xdr:colOff>
      <xdr:row>12</xdr:row>
      <xdr:rowOff>152400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9E8A73-993A-A32A-9157-1CEF5DF8929C}"/>
            </a:ext>
          </a:extLst>
        </xdr:cNvPr>
        <xdr:cNvSpPr/>
      </xdr:nvSpPr>
      <xdr:spPr>
        <a:xfrm>
          <a:off x="4511040" y="1943100"/>
          <a:ext cx="1051560" cy="4038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4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6</xdr:row>
      <xdr:rowOff>38100</xdr:rowOff>
    </xdr:from>
    <xdr:to>
      <xdr:col>9</xdr:col>
      <xdr:colOff>266700</xdr:colOff>
      <xdr:row>9</xdr:row>
      <xdr:rowOff>91440</xdr:rowOff>
    </xdr:to>
    <xdr:sp macro="[0]!Crear_nuevo_produ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D69D66-3835-179C-1A0C-006596931A8B}"/>
            </a:ext>
          </a:extLst>
        </xdr:cNvPr>
        <xdr:cNvSpPr/>
      </xdr:nvSpPr>
      <xdr:spPr>
        <a:xfrm>
          <a:off x="5844540" y="1135380"/>
          <a:ext cx="2133600" cy="9067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GT" sz="1400"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Arial Rounded MT Bold" panose="020F0704030504030204" pitchFamily="34" charset="0"/>
            </a:rPr>
            <a:t>AGREGAR</a:t>
          </a:r>
          <a:r>
            <a:rPr lang="es-GT" sz="1400" baseline="0"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Arial Rounded MT Bold" panose="020F0704030504030204" pitchFamily="34" charset="0"/>
            </a:rPr>
            <a:t> NUEVO PRODUCTO</a:t>
          </a:r>
          <a:endParaRPr lang="es-GT" sz="1400"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7</xdr:col>
      <xdr:colOff>91440</xdr:colOff>
      <xdr:row>11</xdr:row>
      <xdr:rowOff>7620</xdr:rowOff>
    </xdr:from>
    <xdr:to>
      <xdr:col>8</xdr:col>
      <xdr:colOff>350520</xdr:colOff>
      <xdr:row>12</xdr:row>
      <xdr:rowOff>15240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A7DDA4-D7B8-FA3B-762C-01AB6574F893}"/>
            </a:ext>
          </a:extLst>
        </xdr:cNvPr>
        <xdr:cNvSpPr/>
      </xdr:nvSpPr>
      <xdr:spPr>
        <a:xfrm>
          <a:off x="6217920" y="2583180"/>
          <a:ext cx="1051560" cy="32004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400" b="1">
              <a:solidFill>
                <a:schemeClr val="tx1"/>
              </a:solidFill>
            </a:rPr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678180</xdr:colOff>
      <xdr:row>2</xdr:row>
      <xdr:rowOff>160020</xdr:rowOff>
    </xdr:from>
    <xdr:to>
      <xdr:col>9</xdr:col>
      <xdr:colOff>266700</xdr:colOff>
      <xdr:row>4</xdr:row>
      <xdr:rowOff>129540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1D65EC-6177-8B5D-BDE6-51E3ED8656CF}"/>
            </a:ext>
          </a:extLst>
        </xdr:cNvPr>
        <xdr:cNvSpPr/>
      </xdr:nvSpPr>
      <xdr:spPr>
        <a:xfrm>
          <a:off x="7002780" y="525780"/>
          <a:ext cx="1173480" cy="33528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400" b="1">
              <a:solidFill>
                <a:schemeClr val="tx1"/>
              </a:solidFill>
            </a:rPr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167640</xdr:colOff>
      <xdr:row>4</xdr:row>
      <xdr:rowOff>60960</xdr:rowOff>
    </xdr:from>
    <xdr:to>
      <xdr:col>11</xdr:col>
      <xdr:colOff>495300</xdr:colOff>
      <xdr:row>7</xdr:row>
      <xdr:rowOff>76200</xdr:rowOff>
    </xdr:to>
    <xdr:sp macro="[0]!INGRESO_FAC.INGRESO_FAC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1E18329-CC52-A4C5-2769-D247242ED14C}"/>
            </a:ext>
          </a:extLst>
        </xdr:cNvPr>
        <xdr:cNvSpPr/>
      </xdr:nvSpPr>
      <xdr:spPr>
        <a:xfrm>
          <a:off x="7299960" y="906780"/>
          <a:ext cx="1912620" cy="56388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 b="1"/>
            <a:t>CREAR</a:t>
          </a:r>
          <a:r>
            <a:rPr lang="es-GT" sz="1800" b="1" baseline="0"/>
            <a:t> REGISTRO</a:t>
          </a:r>
        </a:p>
        <a:p>
          <a:pPr algn="l"/>
          <a:endParaRPr lang="es-GT" sz="1100"/>
        </a:p>
      </xdr:txBody>
    </xdr:sp>
    <xdr:clientData/>
  </xdr:twoCellAnchor>
  <xdr:twoCellAnchor>
    <xdr:from>
      <xdr:col>9</xdr:col>
      <xdr:colOff>182880</xdr:colOff>
      <xdr:row>9</xdr:row>
      <xdr:rowOff>76200</xdr:rowOff>
    </xdr:from>
    <xdr:to>
      <xdr:col>11</xdr:col>
      <xdr:colOff>510540</xdr:colOff>
      <xdr:row>11</xdr:row>
      <xdr:rowOff>152400</xdr:rowOff>
    </xdr:to>
    <xdr:sp macro="[0]!LIMPIAR_PLANTILL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32F033-0303-4375-A2CB-D27AF8152052}"/>
            </a:ext>
          </a:extLst>
        </xdr:cNvPr>
        <xdr:cNvSpPr/>
      </xdr:nvSpPr>
      <xdr:spPr>
        <a:xfrm>
          <a:off x="7315200" y="1836420"/>
          <a:ext cx="1912620" cy="441960"/>
        </a:xfrm>
        <a:prstGeom prst="roundRect">
          <a:avLst/>
        </a:prstGeom>
        <a:solidFill>
          <a:srgbClr val="F4583E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400" b="1"/>
            <a:t>CANCELAR</a:t>
          </a:r>
          <a:r>
            <a:rPr lang="es-GT" sz="1400" b="1" baseline="0"/>
            <a:t> REGISTRO</a:t>
          </a:r>
          <a:endParaRPr lang="es-GT" sz="1000"/>
        </a:p>
      </xdr:txBody>
    </xdr:sp>
    <xdr:clientData/>
  </xdr:twoCellAnchor>
  <xdr:twoCellAnchor>
    <xdr:from>
      <xdr:col>0</xdr:col>
      <xdr:colOff>495300</xdr:colOff>
      <xdr:row>1</xdr:row>
      <xdr:rowOff>53340</xdr:rowOff>
    </xdr:from>
    <xdr:to>
      <xdr:col>1</xdr:col>
      <xdr:colOff>655320</xdr:colOff>
      <xdr:row>2</xdr:row>
      <xdr:rowOff>83820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E4C0D1-DD27-1E00-21AC-415AC67413F5}"/>
            </a:ext>
          </a:extLst>
        </xdr:cNvPr>
        <xdr:cNvSpPr/>
      </xdr:nvSpPr>
      <xdr:spPr>
        <a:xfrm>
          <a:off x="495300" y="236220"/>
          <a:ext cx="952500" cy="3276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200" b="1">
              <a:solidFill>
                <a:schemeClr val="tx1"/>
              </a:solidFill>
            </a:rPr>
            <a:t>INICIO</a:t>
          </a:r>
          <a:endParaRPr lang="es-GT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10</xdr:row>
      <xdr:rowOff>68580</xdr:rowOff>
    </xdr:from>
    <xdr:to>
      <xdr:col>6</xdr:col>
      <xdr:colOff>320040</xdr:colOff>
      <xdr:row>12</xdr:row>
      <xdr:rowOff>91440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84D342-7B3D-7071-F02B-7AD9259B82C6}"/>
            </a:ext>
          </a:extLst>
        </xdr:cNvPr>
        <xdr:cNvSpPr/>
      </xdr:nvSpPr>
      <xdr:spPr>
        <a:xfrm>
          <a:off x="5943600" y="1897380"/>
          <a:ext cx="960120" cy="3886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400" b="1"/>
            <a:t>INICIO</a:t>
          </a:r>
        </a:p>
      </xdr:txBody>
    </xdr:sp>
    <xdr:clientData/>
  </xdr:twoCellAnchor>
  <xdr:twoCellAnchor>
    <xdr:from>
      <xdr:col>5</xdr:col>
      <xdr:colOff>38100</xdr:colOff>
      <xdr:row>4</xdr:row>
      <xdr:rowOff>15240</xdr:rowOff>
    </xdr:from>
    <xdr:to>
      <xdr:col>6</xdr:col>
      <xdr:colOff>708660</xdr:colOff>
      <xdr:row>8</xdr:row>
      <xdr:rowOff>45720</xdr:rowOff>
    </xdr:to>
    <xdr:sp macro="[0]!NUEVO_EMPLEADO.NUEVO_EMPLEA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4F1124D-7EF9-6390-3A30-25F1CA60A1E8}"/>
            </a:ext>
          </a:extLst>
        </xdr:cNvPr>
        <xdr:cNvSpPr/>
      </xdr:nvSpPr>
      <xdr:spPr>
        <a:xfrm>
          <a:off x="5897880" y="746760"/>
          <a:ext cx="1463040" cy="7620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400" b="1"/>
            <a:t>GENERAR</a:t>
          </a:r>
          <a:r>
            <a:rPr lang="es-GT" sz="1400" b="1" baseline="0"/>
            <a:t> CODIGO</a:t>
          </a:r>
        </a:p>
        <a:p>
          <a:pPr algn="l"/>
          <a:endParaRPr lang="es-GT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F5718C-25C0-45CB-9921-9359F5453418}" name="Base_stock" displayName="Base_stock" ref="A2:I48" totalsRowShown="0">
  <autoFilter ref="A2:I48" xr:uid="{1CF5718C-25C0-45CB-9921-9359F5453418}"/>
  <tableColumns count="9">
    <tableColumn id="1" xr3:uid="{69B52D63-2A7C-4CAF-BED2-970E368B9094}" name="COD. PRODUCTO"/>
    <tableColumn id="2" xr3:uid="{EA94EFF9-3B62-4AFD-8EB7-151CFB66BFAA}" name="PRODUCTO"/>
    <tableColumn id="3" xr3:uid="{0ABDD4D5-87A3-4563-99E5-D462D4CE3349}" name="PROVEEDOR"/>
    <tableColumn id="4" xr3:uid="{89405CF4-2223-48E7-9656-15E4D25FBD99}" name="NO. FAC"/>
    <tableColumn id="5" xr3:uid="{A2151744-2F2E-43C7-8EC9-C9EB75412712}" name="FECHA FACTURA " dataDxfId="10"/>
    <tableColumn id="6" xr3:uid="{F7EA0867-0530-4D0E-9302-3D280BA48605}" name="CANTIDAD" dataDxfId="9"/>
    <tableColumn id="7" xr3:uid="{454B989B-8D08-4FAF-861F-B77E1C537A53}" name="PRECIO /COMPRA" dataCellStyle="Moneda"/>
    <tableColumn id="8" xr3:uid="{B1CDE299-48E6-4F76-BD04-E62ABBA21AC3}" name="% DE GANANCIA " dataDxfId="8" dataCellStyle="Porcentaje"/>
    <tableColumn id="9" xr3:uid="{DA91062B-28B4-47E9-8F5C-D5B6BA04A720}" name="PRECIO VENTA " dataDxfId="7" dataCellStyle="Moneda">
      <calculatedColumnFormula>Base_stock[[#This Row],[PRECIO /COMPRA]]/(1-Base_stock[[#This Row],[% DE GANANCIA 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62C760-2883-4B4C-8DBB-08112D3E4B25}" name="COD_PROD" displayName="COD_PROD" ref="A2:G14" totalsRowShown="0">
  <autoFilter ref="A2:G14" xr:uid="{AC62C760-2883-4B4C-8DBB-08112D3E4B25}"/>
  <tableColumns count="7">
    <tableColumn id="1" xr3:uid="{02A15999-11A3-43CD-843F-FF2FF27A37F8}" name="COD. PRODUCTO"/>
    <tableColumn id="2" xr3:uid="{C7AD2788-95EC-4C3B-96AD-AF4284110695}" name="PRODUCTO"/>
    <tableColumn id="3" xr3:uid="{AD6392A9-AFC2-41A2-85E7-946D2D657B85}" name="PROVEEDOR"/>
    <tableColumn id="4" xr3:uid="{BFFC157E-CC42-432E-A9E5-D7BCC3C5A701}" name="GRUPO"/>
    <tableColumn id="5" xr3:uid="{0D0BAC0C-BA75-4652-A75A-561C24A84BD7}" name="% DE GANANCIA" dataCellStyle="Porcentaje"/>
    <tableColumn id="6" xr3:uid="{2AF32511-5CC0-4977-9FD8-C5F53BC8E499}" name="STOCK ACTUAL" dataDxfId="6">
      <calculatedColumnFormula>(SUMIF(Base_stock[],COD_PROD[[#This Row],[COD. PRODUCTO]],Base_stock[CANTIDAD]))-(SUMIF(VENTAS[],COD_PROD[[#This Row],[COD. PRODUCTO]],VENTAS[PRODUCTO]))</calculatedColumnFormula>
    </tableColumn>
    <tableColumn id="8" xr3:uid="{DBD0F963-78B6-4082-A803-365C46D44E6E}" name="PRECIO ACTUAL" dataDxfId="5">
      <calculatedColumnFormula>_xlfn.MAXIFS( Base_stock[PRECIO /COMPRA],Base_stock[COD. PRODUCTO],COD_PROD[[#This Row],[COD. PRODUCTO]])/(1-COD_PROD[[#This Row],[% DE GANANCIA]])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32FD906-207B-4997-921E-0797416605BE}" name="VENTAS" displayName="VENTAS" ref="A3:N13" totalsRowShown="0">
  <autoFilter ref="A3:N13" xr:uid="{132FD906-207B-4997-921E-0797416605BE}"/>
  <tableColumns count="14">
    <tableColumn id="13" xr3:uid="{84D3E2F4-B2D5-4337-9DB7-0F7A40D4CA8D}" name="VENDEDOR"/>
    <tableColumn id="1" xr3:uid="{C647B929-9414-48C5-A449-6425E3DB6C6B}" name="COD. PRODUCTO"/>
    <tableColumn id="2" xr3:uid="{384F3A59-F47B-4A13-9B56-0A3DD9E24463}" name="PRODUCTO">
      <calculatedColumnFormula>IF(VENTAS[[#This Row],[COD. PRODUCTO]]="","",VLOOKUP(VENTAS[[#This Row],[COD. PRODUCTO]],COD_PROD[],2,FALSE))</calculatedColumnFormula>
    </tableColumn>
    <tableColumn id="3" xr3:uid="{61E8E9BD-7816-47C3-9176-A867F3B01D68}" name="CANTIDAD"/>
    <tableColumn id="4" xr3:uid="{48C47650-4028-4245-8806-C9E6E68B39B2}" name="PRECIO UNITARIO" dataCellStyle="Moneda">
      <calculatedColumnFormula>IF(VENTAS[[#This Row],[COD. PRODUCTO]]="",0,VLOOKUP(VENTAS[[#This Row],[COD. PRODUCTO]],COD_PROD[],7,FALSE))</calculatedColumnFormula>
    </tableColumn>
    <tableColumn id="5" xr3:uid="{AF6276DC-C441-44B3-A3CB-FBCF417AD973}" name="SUB TOTAL" dataCellStyle="Moneda">
      <calculatedColumnFormula>VENTAS[[#This Row],[CANTIDAD]]*VENTAS[[#This Row],[PRECIO UNITARIO]]</calculatedColumnFormula>
    </tableColumn>
    <tableColumn id="6" xr3:uid="{66BABAEB-7148-4374-8512-8C001D278951}" name="NO. TRANSACCION"/>
    <tableColumn id="11" xr3:uid="{92F8C7B1-4E09-4B4B-BEBA-4AF0A05F189C}" name="FECHA DE TRANSACCION" dataDxfId="4"/>
    <tableColumn id="7" xr3:uid="{C16C570D-D4C3-4CA2-AD90-DABE2A1AE5F4}" name="CLIENTE"/>
    <tableColumn id="8" xr3:uid="{A4698DE4-1118-4659-A73A-1DDE8D3813C5}" name="NIT"/>
    <tableColumn id="9" xr3:uid="{0BD42036-7D2E-470D-BF41-6E4F38CAED49}" name="DIRECCION"/>
    <tableColumn id="10" xr3:uid="{6E1CEFD4-2F89-4FDD-8666-40E3703FC633}" name=" CEL"/>
    <tableColumn id="12" xr3:uid="{0C8CF820-B3C6-46D3-9F46-C533F9C5CAA6}" name="MES" dataDxfId="3">
      <calculatedColumnFormula>TEXT(VENTAS[[#This Row],[FECHA DE TRANSACCION]],"MMMM")</calculatedColumnFormula>
    </tableColumn>
    <tableColumn id="14" xr3:uid="{56AEF61A-5D16-45B7-B525-B121DE9CC646}" name="AÑO" dataDxfId="2">
      <calculatedColumnFormula>YEAR(VENTAS[[#This Row],[FECHA DE TRANSACCION]])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59968C-B36D-40F2-9A36-EC1FD525548A}" name="VENDEDORES" displayName="VENDEDORES" ref="A19:E25" totalsRowShown="0">
  <autoFilter ref="A19:E25" xr:uid="{9A59968C-B36D-40F2-9A36-EC1FD525548A}"/>
  <tableColumns count="5">
    <tableColumn id="1" xr3:uid="{88E1FA8F-9EDB-49D5-ADCD-13C0F012CE6A}" name="COD. EMPLEADO"/>
    <tableColumn id="2" xr3:uid="{730C7F18-2CDD-4CDD-8674-4A642C669EAC}" name="NOMBRE"/>
    <tableColumn id="3" xr3:uid="{8BE1C26C-EA06-4E36-B7E8-7666FF4FA037}" name="META MENSUAL" dataDxfId="1" dataCellStyle="Moneda"/>
    <tableColumn id="4" xr3:uid="{9A0BA421-D0BB-4D0C-8D80-D84A4F934EF8}" name="ALCANCE DE META " dataDxfId="0">
      <calculatedColumnFormula>SUMIFS(VENTAS[SUB TOTAL],VENTAS[VENDEDOR],VENDEDORES[[#This Row],[NOMBRE]],VENTAS[MES],$B$16,VENTAS[AÑO],$C$16)</calculatedColumnFormula>
    </tableColumn>
    <tableColumn id="5" xr3:uid="{0AEE1A06-EEC0-4787-B415-915300742F5C}" name="DIFERENCIA ">
      <calculatedColumnFormula>VENDEDORES[[#This Row],[META MENSUAL]]-VENDEDORES[[#This Row],[ALCANCE DE META 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19A52-0CEA-42CE-B7BC-F0BDDF654751}">
  <sheetPr codeName="Hoja1"/>
  <dimension ref="A1:F27"/>
  <sheetViews>
    <sheetView tabSelected="1" workbookViewId="0">
      <selection activeCell="G11" sqref="G11"/>
    </sheetView>
  </sheetViews>
  <sheetFormatPr baseColWidth="10" defaultRowHeight="14.4" x14ac:dyDescent="0.3"/>
  <sheetData>
    <row r="1" spans="1:6" x14ac:dyDescent="0.3">
      <c r="B1" s="14"/>
      <c r="C1" s="14"/>
      <c r="D1" s="14"/>
    </row>
    <row r="3" spans="1:6" x14ac:dyDescent="0.3">
      <c r="A3" s="20"/>
      <c r="B3" s="20"/>
      <c r="C3" s="20"/>
      <c r="D3" s="20"/>
      <c r="E3" s="22" t="s">
        <v>119</v>
      </c>
      <c r="F3" s="22"/>
    </row>
    <row r="4" spans="1:6" x14ac:dyDescent="0.3">
      <c r="A4" s="20"/>
      <c r="B4" s="20"/>
      <c r="C4" s="20"/>
      <c r="D4" s="20"/>
      <c r="E4" s="22"/>
      <c r="F4" s="22"/>
    </row>
    <row r="5" spans="1:6" x14ac:dyDescent="0.3">
      <c r="A5" s="20"/>
      <c r="B5" s="20"/>
      <c r="C5" s="20"/>
      <c r="D5" s="20"/>
      <c r="E5" s="22"/>
      <c r="F5" s="22"/>
    </row>
    <row r="6" spans="1:6" x14ac:dyDescent="0.3">
      <c r="A6" s="20"/>
      <c r="B6" s="20"/>
      <c r="C6" s="20"/>
      <c r="D6" s="20"/>
      <c r="E6" s="22"/>
      <c r="F6" s="22"/>
    </row>
    <row r="7" spans="1:6" x14ac:dyDescent="0.3">
      <c r="A7" s="20"/>
      <c r="B7" s="20"/>
      <c r="C7" s="20"/>
      <c r="D7" s="20"/>
      <c r="E7" s="22"/>
      <c r="F7" s="22"/>
    </row>
    <row r="8" spans="1:6" x14ac:dyDescent="0.3">
      <c r="A8" s="21"/>
      <c r="B8" s="21"/>
      <c r="C8" s="21"/>
      <c r="D8" s="21"/>
      <c r="E8" s="23" t="s">
        <v>120</v>
      </c>
      <c r="F8" s="23"/>
    </row>
    <row r="9" spans="1:6" x14ac:dyDescent="0.3">
      <c r="A9" s="21"/>
      <c r="B9" s="21"/>
      <c r="C9" s="21"/>
      <c r="D9" s="21"/>
      <c r="E9" s="23"/>
      <c r="F9" s="23"/>
    </row>
    <row r="10" spans="1:6" x14ac:dyDescent="0.3">
      <c r="A10" s="21"/>
      <c r="B10" s="21"/>
      <c r="C10" s="21"/>
      <c r="D10" s="21"/>
      <c r="E10" s="23"/>
      <c r="F10" s="23"/>
    </row>
    <row r="11" spans="1:6" x14ac:dyDescent="0.3">
      <c r="A11" s="21"/>
      <c r="B11" s="21"/>
      <c r="C11" s="21"/>
      <c r="D11" s="21"/>
      <c r="E11" s="23"/>
      <c r="F11" s="23"/>
    </row>
    <row r="12" spans="1:6" x14ac:dyDescent="0.3">
      <c r="A12" s="21"/>
      <c r="B12" s="21"/>
      <c r="C12" s="21"/>
      <c r="D12" s="21"/>
      <c r="E12" s="23"/>
      <c r="F12" s="23"/>
    </row>
    <row r="13" spans="1:6" ht="14.4" customHeight="1" x14ac:dyDescent="0.3">
      <c r="A13" s="20"/>
      <c r="B13" s="20"/>
      <c r="C13" s="20"/>
      <c r="D13" s="20"/>
      <c r="E13" s="22" t="s">
        <v>121</v>
      </c>
      <c r="F13" s="22"/>
    </row>
    <row r="14" spans="1:6" x14ac:dyDescent="0.3">
      <c r="A14" s="20"/>
      <c r="B14" s="20"/>
      <c r="C14" s="20"/>
      <c r="D14" s="20"/>
      <c r="E14" s="22"/>
      <c r="F14" s="22"/>
    </row>
    <row r="15" spans="1:6" x14ac:dyDescent="0.3">
      <c r="A15" s="20"/>
      <c r="B15" s="20"/>
      <c r="C15" s="20"/>
      <c r="D15" s="20"/>
      <c r="E15" s="22"/>
      <c r="F15" s="22"/>
    </row>
    <row r="16" spans="1:6" x14ac:dyDescent="0.3">
      <c r="A16" s="20"/>
      <c r="B16" s="20"/>
      <c r="C16" s="20"/>
      <c r="D16" s="20"/>
      <c r="E16" s="22"/>
      <c r="F16" s="22"/>
    </row>
    <row r="17" spans="1:6" x14ac:dyDescent="0.3">
      <c r="A17" s="20"/>
      <c r="B17" s="20"/>
      <c r="C17" s="20"/>
      <c r="D17" s="20"/>
      <c r="E17" s="22"/>
      <c r="F17" s="22"/>
    </row>
    <row r="18" spans="1:6" x14ac:dyDescent="0.3">
      <c r="A18" s="21"/>
      <c r="B18" s="21"/>
      <c r="C18" s="21"/>
      <c r="D18" s="21"/>
      <c r="E18" s="23" t="s">
        <v>122</v>
      </c>
      <c r="F18" s="23"/>
    </row>
    <row r="19" spans="1:6" x14ac:dyDescent="0.3">
      <c r="A19" s="21"/>
      <c r="B19" s="21"/>
      <c r="C19" s="21"/>
      <c r="D19" s="21"/>
      <c r="E19" s="23"/>
      <c r="F19" s="23"/>
    </row>
    <row r="20" spans="1:6" x14ac:dyDescent="0.3">
      <c r="A20" s="21"/>
      <c r="B20" s="21"/>
      <c r="C20" s="21"/>
      <c r="D20" s="21"/>
      <c r="E20" s="23"/>
      <c r="F20" s="23"/>
    </row>
    <row r="21" spans="1:6" x14ac:dyDescent="0.3">
      <c r="A21" s="21"/>
      <c r="B21" s="21"/>
      <c r="C21" s="21"/>
      <c r="D21" s="21"/>
      <c r="E21" s="23"/>
      <c r="F21" s="23"/>
    </row>
    <row r="22" spans="1:6" x14ac:dyDescent="0.3">
      <c r="A22" s="21"/>
      <c r="B22" s="21"/>
      <c r="C22" s="21"/>
      <c r="D22" s="21"/>
      <c r="E22" s="23"/>
      <c r="F22" s="23"/>
    </row>
    <row r="23" spans="1:6" x14ac:dyDescent="0.3">
      <c r="A23" s="20"/>
      <c r="B23" s="20"/>
      <c r="C23" s="20"/>
      <c r="D23" s="20"/>
      <c r="E23" s="22" t="s">
        <v>123</v>
      </c>
      <c r="F23" s="22"/>
    </row>
    <row r="24" spans="1:6" x14ac:dyDescent="0.3">
      <c r="A24" s="20"/>
      <c r="B24" s="20"/>
      <c r="C24" s="20"/>
      <c r="D24" s="20"/>
      <c r="E24" s="22"/>
      <c r="F24" s="22"/>
    </row>
    <row r="25" spans="1:6" x14ac:dyDescent="0.3">
      <c r="A25" s="20"/>
      <c r="B25" s="20"/>
      <c r="C25" s="20"/>
      <c r="D25" s="20"/>
      <c r="E25" s="22"/>
      <c r="F25" s="22"/>
    </row>
    <row r="26" spans="1:6" x14ac:dyDescent="0.3">
      <c r="A26" s="20"/>
      <c r="B26" s="20"/>
      <c r="C26" s="20"/>
      <c r="D26" s="20"/>
      <c r="E26" s="22"/>
      <c r="F26" s="22"/>
    </row>
    <row r="27" spans="1:6" x14ac:dyDescent="0.3">
      <c r="A27" s="20"/>
      <c r="B27" s="20"/>
      <c r="C27" s="20"/>
      <c r="D27" s="20"/>
      <c r="E27" s="22"/>
      <c r="F27" s="22"/>
    </row>
  </sheetData>
  <mergeCells count="5">
    <mergeCell ref="E3:F7"/>
    <mergeCell ref="E8:F12"/>
    <mergeCell ref="E13:F17"/>
    <mergeCell ref="E18:F22"/>
    <mergeCell ref="E23:F2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7369-33E7-479E-BA45-5CF6A340CE91}">
  <sheetPr codeName="Hoja2"/>
  <dimension ref="B2:D17"/>
  <sheetViews>
    <sheetView showGridLines="0" topLeftCell="B1" workbookViewId="0">
      <selection activeCell="C4" sqref="C4:D4"/>
    </sheetView>
  </sheetViews>
  <sheetFormatPr baseColWidth="10" defaultRowHeight="14.4" x14ac:dyDescent="0.3"/>
  <cols>
    <col min="2" max="2" width="14.6640625" bestFit="1" customWidth="1"/>
    <col min="4" max="4" width="20" customWidth="1"/>
  </cols>
  <sheetData>
    <row r="2" spans="2:4" x14ac:dyDescent="0.3">
      <c r="B2" s="28" t="s">
        <v>8</v>
      </c>
      <c r="C2" s="29"/>
      <c r="D2" s="30"/>
    </row>
    <row r="3" spans="2:4" x14ac:dyDescent="0.3">
      <c r="B3" s="1"/>
      <c r="D3" s="2"/>
    </row>
    <row r="4" spans="2:4" x14ac:dyDescent="0.3">
      <c r="B4" s="3" t="s">
        <v>1</v>
      </c>
      <c r="C4" s="61"/>
      <c r="D4" s="35"/>
    </row>
    <row r="5" spans="2:4" x14ac:dyDescent="0.3">
      <c r="B5" s="1"/>
      <c r="D5" s="2"/>
    </row>
    <row r="6" spans="2:4" x14ac:dyDescent="0.3">
      <c r="B6" s="1"/>
      <c r="D6" s="2"/>
    </row>
    <row r="7" spans="2:4" x14ac:dyDescent="0.3">
      <c r="B7" s="3" t="s">
        <v>2</v>
      </c>
      <c r="C7" s="31" t="str">
        <f>IF(C4="","",IFERROR(VLOOKUP(C4,COD_PROD[],3,FALSE),"CODIGO NO EXISTE"))</f>
        <v/>
      </c>
      <c r="D7" s="32"/>
    </row>
    <row r="8" spans="2:4" x14ac:dyDescent="0.3">
      <c r="B8" s="3" t="s">
        <v>3</v>
      </c>
      <c r="C8" s="62"/>
      <c r="D8" s="33"/>
    </row>
    <row r="9" spans="2:4" x14ac:dyDescent="0.3">
      <c r="B9" s="3" t="s">
        <v>4</v>
      </c>
      <c r="C9" s="34"/>
      <c r="D9" s="35"/>
    </row>
    <row r="10" spans="2:4" x14ac:dyDescent="0.3">
      <c r="B10" s="1"/>
      <c r="D10" s="2"/>
    </row>
    <row r="11" spans="2:4" x14ac:dyDescent="0.3">
      <c r="B11" s="1"/>
      <c r="D11" s="2"/>
    </row>
    <row r="12" spans="2:4" x14ac:dyDescent="0.3">
      <c r="B12" s="3" t="s">
        <v>0</v>
      </c>
      <c r="C12" s="31" t="str">
        <f>IF(C4="","",IFERROR(VLOOKUP(C4,COD_PROD[],2,FALSE),"CODIGO NO EXISTE"))</f>
        <v/>
      </c>
      <c r="D12" s="32"/>
    </row>
    <row r="13" spans="2:4" x14ac:dyDescent="0.3">
      <c r="B13" s="3" t="s">
        <v>5</v>
      </c>
      <c r="C13" s="61"/>
      <c r="D13" s="35"/>
    </row>
    <row r="14" spans="2:4" x14ac:dyDescent="0.3">
      <c r="B14" s="1"/>
      <c r="D14" s="2"/>
    </row>
    <row r="15" spans="2:4" x14ac:dyDescent="0.3">
      <c r="B15" s="1"/>
      <c r="D15" s="2"/>
    </row>
    <row r="16" spans="2:4" x14ac:dyDescent="0.3">
      <c r="B16" s="3" t="s">
        <v>6</v>
      </c>
      <c r="C16" s="24"/>
      <c r="D16" s="25"/>
    </row>
    <row r="17" spans="2:4" x14ac:dyDescent="0.3">
      <c r="B17" s="3" t="s">
        <v>7</v>
      </c>
      <c r="C17" s="26" t="str">
        <f>IF(C4="","",IFERROR(VLOOKUP(C4,COD_PROD[],5,FALSE),"CODIGO NO EXISTE"))</f>
        <v/>
      </c>
      <c r="D17" s="27"/>
    </row>
  </sheetData>
  <sheetProtection algorithmName="SHA-512" hashValue="TzXq9IIAOtXPdCm+JtEi/JaZlB2IXiNJI8WIT50/CS1QU/yJ+bgGB5QhZoZFpF6JPhvIeNNkwtD1/gWyjyv9IQ==" saltValue="DFOR6K7iDW5BDcRlKqcCdw==" spinCount="100000" sheet="1" objects="1" scenarios="1" selectLockedCells="1"/>
  <mergeCells count="9">
    <mergeCell ref="C16:D16"/>
    <mergeCell ref="C17:D17"/>
    <mergeCell ref="B2:D2"/>
    <mergeCell ref="C7:D7"/>
    <mergeCell ref="C8:D8"/>
    <mergeCell ref="C9:D9"/>
    <mergeCell ref="C4:D4"/>
    <mergeCell ref="C12:D12"/>
    <mergeCell ref="C13:D1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CE3FF-8B7C-4B5A-885A-17B8B357D398}">
  <sheetPr codeName="Hoja3"/>
  <dimension ref="A2:I48"/>
  <sheetViews>
    <sheetView topLeftCell="A20" workbookViewId="0">
      <selection activeCell="E49" sqref="E49"/>
    </sheetView>
  </sheetViews>
  <sheetFormatPr baseColWidth="10" defaultRowHeight="14.4" x14ac:dyDescent="0.3"/>
  <cols>
    <col min="1" max="1" width="17.109375" customWidth="1"/>
    <col min="2" max="2" width="12.44140625" customWidth="1"/>
    <col min="3" max="3" width="13.33203125" customWidth="1"/>
    <col min="5" max="5" width="17.109375" style="6" customWidth="1"/>
    <col min="6" max="6" width="12.21875" style="7" customWidth="1"/>
    <col min="7" max="7" width="18.109375" customWidth="1"/>
    <col min="8" max="8" width="17.109375" customWidth="1"/>
    <col min="9" max="9" width="15.77734375" customWidth="1"/>
  </cols>
  <sheetData>
    <row r="2" spans="1:9" x14ac:dyDescent="0.3">
      <c r="A2" t="s">
        <v>9</v>
      </c>
      <c r="B2" t="s">
        <v>0</v>
      </c>
      <c r="C2" t="s">
        <v>2</v>
      </c>
      <c r="D2" t="s">
        <v>36</v>
      </c>
      <c r="E2" s="6" t="s">
        <v>37</v>
      </c>
      <c r="F2" s="7" t="s">
        <v>5</v>
      </c>
      <c r="G2" t="s">
        <v>39</v>
      </c>
      <c r="H2" t="s">
        <v>38</v>
      </c>
      <c r="I2" t="s">
        <v>40</v>
      </c>
    </row>
    <row r="3" spans="1:9" x14ac:dyDescent="0.3">
      <c r="A3" t="s">
        <v>11</v>
      </c>
      <c r="B3" t="s">
        <v>19</v>
      </c>
      <c r="C3" t="s">
        <v>27</v>
      </c>
      <c r="D3">
        <v>121255</v>
      </c>
      <c r="E3" s="6">
        <v>46061</v>
      </c>
      <c r="F3" s="7">
        <v>7</v>
      </c>
      <c r="G3" s="5">
        <v>1500</v>
      </c>
      <c r="H3" s="4">
        <v>0.5</v>
      </c>
      <c r="I3" s="5">
        <f>Base_stock[[#This Row],[PRECIO /COMPRA]]/(1-Base_stock[[#This Row],[% DE GANANCIA ]])</f>
        <v>3000</v>
      </c>
    </row>
    <row r="4" spans="1:9" x14ac:dyDescent="0.3">
      <c r="A4" t="s">
        <v>17</v>
      </c>
      <c r="B4" t="s">
        <v>25</v>
      </c>
      <c r="D4">
        <v>50502223</v>
      </c>
      <c r="E4" s="6">
        <v>46088</v>
      </c>
      <c r="F4" s="7">
        <v>10</v>
      </c>
      <c r="G4" s="5">
        <v>1100</v>
      </c>
      <c r="H4" s="4">
        <v>0.5</v>
      </c>
      <c r="I4" s="5">
        <f>Base_stock[[#This Row],[PRECIO /COMPRA]]/(1-Base_stock[[#This Row],[% DE GANANCIA ]])</f>
        <v>2200</v>
      </c>
    </row>
    <row r="5" spans="1:9" x14ac:dyDescent="0.3">
      <c r="A5" t="s">
        <v>14</v>
      </c>
      <c r="B5" t="s">
        <v>22</v>
      </c>
      <c r="C5" t="s">
        <v>28</v>
      </c>
      <c r="D5">
        <v>121200054</v>
      </c>
      <c r="E5" s="6">
        <v>46061</v>
      </c>
      <c r="F5" s="7">
        <v>4</v>
      </c>
      <c r="G5" s="5">
        <v>2800</v>
      </c>
      <c r="H5" s="4">
        <v>0.5</v>
      </c>
      <c r="I5" s="5">
        <f>Base_stock[[#This Row],[PRECIO /COMPRA]]/(1-Base_stock[[#This Row],[% DE GANANCIA ]])</f>
        <v>5600</v>
      </c>
    </row>
    <row r="6" spans="1:9" x14ac:dyDescent="0.3">
      <c r="A6" t="s">
        <v>11</v>
      </c>
      <c r="B6" t="s">
        <v>19</v>
      </c>
      <c r="C6" t="s">
        <v>27</v>
      </c>
      <c r="D6">
        <v>121200054</v>
      </c>
      <c r="E6" s="6">
        <v>46061</v>
      </c>
      <c r="F6" s="7">
        <v>5</v>
      </c>
      <c r="G6" s="5">
        <v>1300</v>
      </c>
      <c r="H6" s="4">
        <v>0.35</v>
      </c>
      <c r="I6" s="5">
        <f>Base_stock[[#This Row],[PRECIO /COMPRA]]/(1-Base_stock[[#This Row],[% DE GANANCIA ]])</f>
        <v>2000</v>
      </c>
    </row>
    <row r="7" spans="1:9" x14ac:dyDescent="0.3">
      <c r="A7" t="s">
        <v>14</v>
      </c>
      <c r="B7" t="s">
        <v>22</v>
      </c>
      <c r="C7" t="s">
        <v>28</v>
      </c>
      <c r="D7">
        <v>252546</v>
      </c>
      <c r="E7" s="6">
        <v>46088</v>
      </c>
      <c r="F7" s="7">
        <v>4</v>
      </c>
      <c r="G7" s="5">
        <v>2230</v>
      </c>
      <c r="H7" s="4">
        <v>0.45</v>
      </c>
      <c r="I7" s="5">
        <f>Base_stock[[#This Row],[PRECIO /COMPRA]]/(1-Base_stock[[#This Row],[% DE GANANCIA ]])</f>
        <v>4054.545454545454</v>
      </c>
    </row>
    <row r="8" spans="1:9" x14ac:dyDescent="0.3">
      <c r="A8" t="s">
        <v>14</v>
      </c>
      <c r="B8" t="s">
        <v>22</v>
      </c>
      <c r="D8">
        <v>252546</v>
      </c>
      <c r="E8" s="6">
        <v>46088</v>
      </c>
      <c r="F8" s="7">
        <v>4</v>
      </c>
      <c r="G8" s="5">
        <v>2230</v>
      </c>
      <c r="H8" s="4">
        <v>0.45</v>
      </c>
      <c r="I8" s="5">
        <f>Base_stock[[#This Row],[PRECIO /COMPRA]]/(1-Base_stock[[#This Row],[% DE GANANCIA ]])</f>
        <v>4054.545454545454</v>
      </c>
    </row>
    <row r="9" spans="1:9" x14ac:dyDescent="0.3">
      <c r="A9" t="s">
        <v>11</v>
      </c>
      <c r="B9" t="s">
        <v>19</v>
      </c>
      <c r="D9">
        <v>15224566</v>
      </c>
      <c r="E9" s="6">
        <v>46088</v>
      </c>
      <c r="F9" s="7">
        <v>5</v>
      </c>
      <c r="G9" s="5">
        <v>1200</v>
      </c>
      <c r="H9" s="4">
        <v>0.45</v>
      </c>
      <c r="I9" s="5">
        <f>Base_stock[[#This Row],[PRECIO /COMPRA]]/(1-Base_stock[[#This Row],[% DE GANANCIA ]])</f>
        <v>2181.8181818181815</v>
      </c>
    </row>
    <row r="10" spans="1:9" x14ac:dyDescent="0.3">
      <c r="A10" t="s">
        <v>12</v>
      </c>
      <c r="B10" t="s">
        <v>20</v>
      </c>
      <c r="C10" t="s">
        <v>27</v>
      </c>
      <c r="D10">
        <v>25500</v>
      </c>
      <c r="E10" s="6">
        <v>46088</v>
      </c>
      <c r="F10" s="7">
        <v>5</v>
      </c>
      <c r="G10" s="5">
        <v>1250.22</v>
      </c>
      <c r="H10" s="4">
        <v>0.45</v>
      </c>
      <c r="I10" s="5">
        <f>Base_stock[[#This Row],[PRECIO /COMPRA]]/(1-Base_stock[[#This Row],[% DE GANANCIA ]])</f>
        <v>2273.1272727272726</v>
      </c>
    </row>
    <row r="11" spans="1:9" x14ac:dyDescent="0.3">
      <c r="A11" t="s">
        <v>12</v>
      </c>
      <c r="B11" t="s">
        <v>20</v>
      </c>
      <c r="C11" t="s">
        <v>27</v>
      </c>
      <c r="D11">
        <v>15002</v>
      </c>
      <c r="E11" s="6">
        <v>46088</v>
      </c>
      <c r="F11" s="7">
        <v>5</v>
      </c>
      <c r="G11" s="5">
        <v>2500</v>
      </c>
      <c r="H11" s="4">
        <v>0.45</v>
      </c>
      <c r="I11" s="5">
        <f>Base_stock[[#This Row],[PRECIO /COMPRA]]/(1-Base_stock[[#This Row],[% DE GANANCIA ]])</f>
        <v>4545.454545454545</v>
      </c>
    </row>
    <row r="12" spans="1:9" x14ac:dyDescent="0.3">
      <c r="A12" t="s">
        <v>12</v>
      </c>
      <c r="B12" t="s">
        <v>20</v>
      </c>
      <c r="C12" t="s">
        <v>27</v>
      </c>
      <c r="D12">
        <v>190000225</v>
      </c>
      <c r="E12" s="6">
        <v>46088</v>
      </c>
      <c r="F12" s="7">
        <v>5</v>
      </c>
      <c r="G12" s="5">
        <v>2500</v>
      </c>
      <c r="H12" s="4">
        <v>0.45</v>
      </c>
      <c r="I12" s="5">
        <f>Base_stock[[#This Row],[PRECIO /COMPRA]]/(1-Base_stock[[#This Row],[% DE GANANCIA ]])</f>
        <v>4545.454545454545</v>
      </c>
    </row>
    <row r="13" spans="1:9" x14ac:dyDescent="0.3">
      <c r="A13" t="s">
        <v>12</v>
      </c>
      <c r="B13" t="s">
        <v>20</v>
      </c>
      <c r="D13">
        <v>190002121</v>
      </c>
      <c r="E13" s="6">
        <v>46088</v>
      </c>
      <c r="F13" s="7">
        <v>5</v>
      </c>
      <c r="G13" s="5">
        <v>2500</v>
      </c>
      <c r="H13" s="4">
        <v>0.45</v>
      </c>
      <c r="I13" s="5">
        <f>Base_stock[[#This Row],[PRECIO /COMPRA]]/(1-Base_stock[[#This Row],[% DE GANANCIA ]])</f>
        <v>4545.454545454545</v>
      </c>
    </row>
    <row r="14" spans="1:9" x14ac:dyDescent="0.3">
      <c r="A14" t="s">
        <v>12</v>
      </c>
      <c r="B14" t="s">
        <v>20</v>
      </c>
      <c r="C14" t="s">
        <v>27</v>
      </c>
      <c r="D14">
        <v>131322</v>
      </c>
      <c r="E14" s="6">
        <v>46088</v>
      </c>
      <c r="F14" s="7">
        <v>5</v>
      </c>
      <c r="G14" s="5">
        <v>2500</v>
      </c>
      <c r="H14" s="4">
        <v>0.45</v>
      </c>
      <c r="I14" s="5">
        <f>Base_stock[[#This Row],[PRECIO /COMPRA]]/(1-Base_stock[[#This Row],[% DE GANANCIA ]])</f>
        <v>4545.454545454545</v>
      </c>
    </row>
    <row r="15" spans="1:9" x14ac:dyDescent="0.3">
      <c r="A15" t="s">
        <v>12</v>
      </c>
      <c r="B15" t="s">
        <v>20</v>
      </c>
      <c r="C15" t="s">
        <v>27</v>
      </c>
      <c r="D15">
        <v>131322</v>
      </c>
      <c r="E15" s="6">
        <v>46088</v>
      </c>
      <c r="F15" s="7">
        <v>5</v>
      </c>
      <c r="G15" s="5">
        <v>2500</v>
      </c>
      <c r="H15" s="4">
        <v>0.45</v>
      </c>
      <c r="I15" s="5">
        <f>Base_stock[[#This Row],[PRECIO /COMPRA]]/(1-Base_stock[[#This Row],[% DE GANANCIA ]])</f>
        <v>4545.454545454545</v>
      </c>
    </row>
    <row r="16" spans="1:9" x14ac:dyDescent="0.3">
      <c r="A16" t="s">
        <v>12</v>
      </c>
      <c r="B16" t="s">
        <v>20</v>
      </c>
      <c r="D16">
        <v>1500225</v>
      </c>
      <c r="E16" s="6">
        <v>46088</v>
      </c>
      <c r="F16" s="7">
        <v>5</v>
      </c>
      <c r="G16" s="5">
        <v>2525.3000000000002</v>
      </c>
      <c r="H16" s="4">
        <v>0.45</v>
      </c>
      <c r="I16" s="5">
        <f>Base_stock[[#This Row],[PRECIO /COMPRA]]/(1-Base_stock[[#This Row],[% DE GANANCIA ]])</f>
        <v>4591.454545454545</v>
      </c>
    </row>
    <row r="17" spans="1:9" x14ac:dyDescent="0.3">
      <c r="A17" t="s">
        <v>13</v>
      </c>
      <c r="B17" t="s">
        <v>21</v>
      </c>
      <c r="D17">
        <v>25000045</v>
      </c>
      <c r="E17" s="6">
        <v>46030</v>
      </c>
      <c r="F17" s="7">
        <v>3</v>
      </c>
      <c r="G17" s="5">
        <v>3000</v>
      </c>
      <c r="H17" s="4">
        <v>0.35</v>
      </c>
      <c r="I17" s="5">
        <f>Base_stock[[#This Row],[PRECIO /COMPRA]]/(1-Base_stock[[#This Row],[% DE GANANCIA ]])</f>
        <v>4615.3846153846152</v>
      </c>
    </row>
    <row r="18" spans="1:9" x14ac:dyDescent="0.3">
      <c r="A18" t="s">
        <v>11</v>
      </c>
      <c r="B18" t="s">
        <v>19</v>
      </c>
      <c r="C18" t="s">
        <v>27</v>
      </c>
      <c r="D18">
        <v>2500333</v>
      </c>
      <c r="E18" s="6" t="s">
        <v>42</v>
      </c>
      <c r="F18" s="7">
        <v>5</v>
      </c>
      <c r="G18" s="5">
        <v>1350</v>
      </c>
      <c r="H18" s="4">
        <v>0.45</v>
      </c>
      <c r="I18" s="5">
        <f>Base_stock[[#This Row],[PRECIO /COMPRA]]/(1-Base_stock[[#This Row],[% DE GANANCIA ]])</f>
        <v>2454.5454545454545</v>
      </c>
    </row>
    <row r="19" spans="1:9" x14ac:dyDescent="0.3">
      <c r="A19" t="s">
        <v>16</v>
      </c>
      <c r="B19" t="s">
        <v>24</v>
      </c>
      <c r="C19" t="s">
        <v>30</v>
      </c>
      <c r="D19">
        <v>25004646</v>
      </c>
      <c r="E19" s="6" t="s">
        <v>41</v>
      </c>
      <c r="F19" s="7">
        <v>5</v>
      </c>
      <c r="G19" s="5">
        <v>1800</v>
      </c>
      <c r="H19" s="4">
        <v>0.35</v>
      </c>
      <c r="I19" s="5">
        <f>Base_stock[[#This Row],[PRECIO /COMPRA]]/(1-Base_stock[[#This Row],[% DE GANANCIA ]])</f>
        <v>2769.2307692307691</v>
      </c>
    </row>
    <row r="20" spans="1:9" x14ac:dyDescent="0.3">
      <c r="A20" t="s">
        <v>14</v>
      </c>
      <c r="B20" t="s">
        <v>22</v>
      </c>
      <c r="C20" t="s">
        <v>28</v>
      </c>
      <c r="D20">
        <v>256563</v>
      </c>
      <c r="E20" s="6" t="s">
        <v>43</v>
      </c>
      <c r="F20" s="7">
        <v>3</v>
      </c>
      <c r="G20" s="5">
        <v>2500</v>
      </c>
      <c r="H20" s="4">
        <v>0.45</v>
      </c>
      <c r="I20" s="5">
        <f>Base_stock[[#This Row],[PRECIO /COMPRA]]/(1-Base_stock[[#This Row],[% DE GANANCIA ]])</f>
        <v>4545.454545454545</v>
      </c>
    </row>
    <row r="21" spans="1:9" x14ac:dyDescent="0.3">
      <c r="A21" t="s">
        <v>14</v>
      </c>
      <c r="B21" t="s">
        <v>22</v>
      </c>
      <c r="C21" t="s">
        <v>28</v>
      </c>
      <c r="D21">
        <v>25004645</v>
      </c>
      <c r="E21" s="6" t="s">
        <v>44</v>
      </c>
      <c r="F21" s="7">
        <v>2</v>
      </c>
      <c r="G21" s="5">
        <v>1500</v>
      </c>
      <c r="H21" s="4">
        <v>0.45</v>
      </c>
      <c r="I21" s="5">
        <f>Base_stock[[#This Row],[PRECIO /COMPRA]]/(1-Base_stock[[#This Row],[% DE GANANCIA ]])</f>
        <v>2727.272727272727</v>
      </c>
    </row>
    <row r="22" spans="1:9" x14ac:dyDescent="0.3">
      <c r="A22" t="s">
        <v>17</v>
      </c>
      <c r="B22" t="s">
        <v>25</v>
      </c>
      <c r="C22" t="s">
        <v>31</v>
      </c>
      <c r="D22">
        <v>250004522</v>
      </c>
      <c r="E22" s="6" t="s">
        <v>41</v>
      </c>
      <c r="F22" s="7">
        <v>5</v>
      </c>
      <c r="G22" s="5">
        <v>1800</v>
      </c>
      <c r="H22" s="4">
        <v>0.35</v>
      </c>
      <c r="I22" s="5">
        <f>Base_stock[[#This Row],[PRECIO /COMPRA]]/(1-Base_stock[[#This Row],[% DE GANANCIA ]])</f>
        <v>2769.2307692307691</v>
      </c>
    </row>
    <row r="23" spans="1:9" x14ac:dyDescent="0.3">
      <c r="A23" t="s">
        <v>15</v>
      </c>
      <c r="B23" t="s">
        <v>23</v>
      </c>
      <c r="C23" t="s">
        <v>29</v>
      </c>
      <c r="D23">
        <v>250004545</v>
      </c>
      <c r="E23" s="6" t="s">
        <v>45</v>
      </c>
      <c r="F23" s="7">
        <v>4</v>
      </c>
      <c r="G23" s="5">
        <v>2500</v>
      </c>
      <c r="H23" s="4">
        <v>0.45</v>
      </c>
      <c r="I23" s="5">
        <f>Base_stock[[#This Row],[PRECIO /COMPRA]]/(1-Base_stock[[#This Row],[% DE GANANCIA ]])</f>
        <v>4545.454545454545</v>
      </c>
    </row>
    <row r="24" spans="1:9" x14ac:dyDescent="0.3">
      <c r="A24" t="s">
        <v>12</v>
      </c>
      <c r="B24" t="s">
        <v>20</v>
      </c>
      <c r="C24" t="s">
        <v>27</v>
      </c>
      <c r="D24">
        <v>2545002</v>
      </c>
      <c r="E24" s="6" t="s">
        <v>46</v>
      </c>
      <c r="F24" s="7">
        <v>5</v>
      </c>
      <c r="G24" s="5">
        <v>2000</v>
      </c>
      <c r="H24" s="4">
        <v>0.35</v>
      </c>
      <c r="I24" s="5">
        <f>Base_stock[[#This Row],[PRECIO /COMPRA]]/(1-Base_stock[[#This Row],[% DE GANANCIA ]])</f>
        <v>3076.9230769230767</v>
      </c>
    </row>
    <row r="25" spans="1:9" x14ac:dyDescent="0.3">
      <c r="A25" t="s">
        <v>14</v>
      </c>
      <c r="B25" t="s">
        <v>22</v>
      </c>
      <c r="C25" t="s">
        <v>28</v>
      </c>
      <c r="D25">
        <v>250004545</v>
      </c>
      <c r="E25" s="6" t="s">
        <v>41</v>
      </c>
      <c r="F25" s="7">
        <v>4</v>
      </c>
      <c r="G25" s="5">
        <v>2500</v>
      </c>
      <c r="H25" s="4">
        <v>0.5</v>
      </c>
      <c r="I25" s="5">
        <f>Base_stock[[#This Row],[PRECIO /COMPRA]]/(1-Base_stock[[#This Row],[% DE GANANCIA ]])</f>
        <v>5000</v>
      </c>
    </row>
    <row r="26" spans="1:9" x14ac:dyDescent="0.3">
      <c r="A26" t="s">
        <v>10</v>
      </c>
      <c r="B26" t="s">
        <v>18</v>
      </c>
      <c r="C26" t="s">
        <v>26</v>
      </c>
      <c r="D26">
        <v>252525</v>
      </c>
      <c r="E26" s="6">
        <v>46239</v>
      </c>
      <c r="F26" s="7">
        <v>2</v>
      </c>
      <c r="G26" s="5">
        <v>3000</v>
      </c>
      <c r="H26" s="4">
        <v>0.45</v>
      </c>
      <c r="I26" s="5">
        <f>Base_stock[[#This Row],[PRECIO /COMPRA]]/(1-Base_stock[[#This Row],[% DE GANANCIA ]])</f>
        <v>5454.545454545454</v>
      </c>
    </row>
    <row r="27" spans="1:9" x14ac:dyDescent="0.3">
      <c r="A27" t="s">
        <v>11</v>
      </c>
      <c r="B27" t="s">
        <v>19</v>
      </c>
      <c r="C27" t="s">
        <v>27</v>
      </c>
      <c r="D27">
        <v>1212</v>
      </c>
      <c r="E27" s="6" t="s">
        <v>47</v>
      </c>
      <c r="F27" s="7">
        <v>2</v>
      </c>
      <c r="G27" s="5">
        <v>2000</v>
      </c>
      <c r="H27" s="4">
        <v>0.35</v>
      </c>
      <c r="I27" s="5">
        <f>Base_stock[[#This Row],[PRECIO /COMPRA]]/(1-Base_stock[[#This Row],[% DE GANANCIA ]])</f>
        <v>3076.9230769230767</v>
      </c>
    </row>
    <row r="28" spans="1:9" x14ac:dyDescent="0.3">
      <c r="A28" t="s">
        <v>11</v>
      </c>
      <c r="B28" t="s">
        <v>19</v>
      </c>
      <c r="C28" t="s">
        <v>27</v>
      </c>
      <c r="D28">
        <v>25256</v>
      </c>
      <c r="E28" s="6" t="s">
        <v>41</v>
      </c>
      <c r="F28" s="7">
        <v>2</v>
      </c>
      <c r="G28" s="5">
        <v>1500</v>
      </c>
      <c r="H28" s="4">
        <v>0.25</v>
      </c>
      <c r="I28" s="5">
        <f>Base_stock[[#This Row],[PRECIO /COMPRA]]/(1-Base_stock[[#This Row],[% DE GANANCIA ]])</f>
        <v>2000</v>
      </c>
    </row>
    <row r="29" spans="1:9" x14ac:dyDescent="0.3">
      <c r="A29" t="s">
        <v>10</v>
      </c>
      <c r="B29" t="s">
        <v>18</v>
      </c>
      <c r="C29" t="s">
        <v>26</v>
      </c>
      <c r="D29">
        <v>190002526</v>
      </c>
      <c r="E29" s="6" t="s">
        <v>49</v>
      </c>
      <c r="F29" s="7">
        <v>5</v>
      </c>
      <c r="G29" s="5">
        <v>2800</v>
      </c>
      <c r="H29" s="4">
        <v>0.35</v>
      </c>
      <c r="I29" s="5">
        <f>Base_stock[[#This Row],[PRECIO /COMPRA]]/(1-Base_stock[[#This Row],[% DE GANANCIA ]])</f>
        <v>4307.6923076923076</v>
      </c>
    </row>
    <row r="30" spans="1:9" x14ac:dyDescent="0.3">
      <c r="A30" t="s">
        <v>15</v>
      </c>
      <c r="B30" t="s">
        <v>23</v>
      </c>
      <c r="C30" t="s">
        <v>29</v>
      </c>
      <c r="D30">
        <v>25000045</v>
      </c>
      <c r="E30" s="6">
        <v>46241</v>
      </c>
      <c r="F30" s="7">
        <v>3</v>
      </c>
      <c r="G30" s="5">
        <v>1800</v>
      </c>
      <c r="H30" s="4">
        <v>0.5</v>
      </c>
      <c r="I30" s="5">
        <f>Base_stock[[#This Row],[PRECIO /COMPRA]]/(1-Base_stock[[#This Row],[% DE GANANCIA ]])</f>
        <v>3600</v>
      </c>
    </row>
    <row r="31" spans="1:9" x14ac:dyDescent="0.3">
      <c r="A31" t="s">
        <v>15</v>
      </c>
      <c r="B31" t="s">
        <v>23</v>
      </c>
      <c r="C31" t="s">
        <v>29</v>
      </c>
      <c r="D31">
        <v>140004546</v>
      </c>
      <c r="E31" s="6" t="s">
        <v>41</v>
      </c>
      <c r="F31" s="7">
        <v>4</v>
      </c>
      <c r="G31" s="5">
        <v>1800</v>
      </c>
      <c r="H31" s="4">
        <v>0.5</v>
      </c>
      <c r="I31" s="5">
        <f>Base_stock[[#This Row],[PRECIO /COMPRA]]/(1-Base_stock[[#This Row],[% DE GANANCIA ]])</f>
        <v>3600</v>
      </c>
    </row>
    <row r="32" spans="1:9" x14ac:dyDescent="0.3">
      <c r="A32" t="s">
        <v>17</v>
      </c>
      <c r="B32" t="s">
        <v>25</v>
      </c>
      <c r="C32" t="s">
        <v>31</v>
      </c>
      <c r="D32">
        <v>100045256</v>
      </c>
      <c r="E32" s="6">
        <v>46030</v>
      </c>
      <c r="F32" s="7">
        <v>8</v>
      </c>
      <c r="G32" s="5">
        <v>1200</v>
      </c>
      <c r="H32" s="4">
        <v>0.2</v>
      </c>
      <c r="I32" s="5">
        <f>Base_stock[[#This Row],[PRECIO /COMPRA]]/(1-Base_stock[[#This Row],[% DE GANANCIA ]])</f>
        <v>1500</v>
      </c>
    </row>
    <row r="33" spans="1:9" x14ac:dyDescent="0.3">
      <c r="A33" t="s">
        <v>15</v>
      </c>
      <c r="B33" t="s">
        <v>23</v>
      </c>
      <c r="C33" t="s">
        <v>29</v>
      </c>
      <c r="D33">
        <v>20145656</v>
      </c>
      <c r="E33" s="6">
        <v>46150</v>
      </c>
      <c r="F33" s="7">
        <v>4</v>
      </c>
      <c r="G33" s="5">
        <v>2300</v>
      </c>
      <c r="H33" s="4">
        <v>0.5</v>
      </c>
      <c r="I33" s="5">
        <f>Base_stock[[#This Row],[PRECIO /COMPRA]]/(1-Base_stock[[#This Row],[% DE GANANCIA ]])</f>
        <v>4600</v>
      </c>
    </row>
    <row r="34" spans="1:9" x14ac:dyDescent="0.3">
      <c r="A34" t="s">
        <v>14</v>
      </c>
      <c r="B34" t="s">
        <v>22</v>
      </c>
      <c r="C34" t="s">
        <v>28</v>
      </c>
      <c r="D34">
        <v>19002525</v>
      </c>
      <c r="E34" s="6">
        <v>46241</v>
      </c>
      <c r="F34" s="7">
        <v>4</v>
      </c>
      <c r="G34" s="5">
        <v>1300.25</v>
      </c>
      <c r="H34" s="4">
        <v>0.3</v>
      </c>
      <c r="I34" s="5">
        <f>Base_stock[[#This Row],[PRECIO /COMPRA]]/(1-Base_stock[[#This Row],[% DE GANANCIA ]])</f>
        <v>1857.5000000000002</v>
      </c>
    </row>
    <row r="35" spans="1:9" x14ac:dyDescent="0.3">
      <c r="A35" t="s">
        <v>10</v>
      </c>
      <c r="B35" t="s">
        <v>18</v>
      </c>
      <c r="C35" t="s">
        <v>26</v>
      </c>
      <c r="D35">
        <v>2525</v>
      </c>
      <c r="E35" s="6">
        <v>46030</v>
      </c>
      <c r="F35" s="7">
        <v>1</v>
      </c>
      <c r="G35" s="5">
        <v>0.8</v>
      </c>
      <c r="H35" s="4">
        <v>0.35</v>
      </c>
      <c r="I35" s="5">
        <f>Base_stock[[#This Row],[PRECIO /COMPRA]]/(1-Base_stock[[#This Row],[% DE GANANCIA ]])</f>
        <v>1.2307692307692308</v>
      </c>
    </row>
    <row r="36" spans="1:9" x14ac:dyDescent="0.3">
      <c r="A36" t="s">
        <v>10</v>
      </c>
      <c r="B36" t="s">
        <v>18</v>
      </c>
      <c r="C36" t="s">
        <v>26</v>
      </c>
      <c r="D36">
        <v>1</v>
      </c>
      <c r="E36" s="6">
        <v>46029</v>
      </c>
      <c r="F36" s="7">
        <v>1</v>
      </c>
      <c r="G36" s="5">
        <v>100</v>
      </c>
      <c r="H36" s="4">
        <v>0.35</v>
      </c>
      <c r="I36" s="5">
        <f>Base_stock[[#This Row],[PRECIO /COMPRA]]/(1-Base_stock[[#This Row],[% DE GANANCIA ]])</f>
        <v>153.84615384615384</v>
      </c>
    </row>
    <row r="37" spans="1:9" x14ac:dyDescent="0.3">
      <c r="A37" t="s">
        <v>10</v>
      </c>
      <c r="B37" t="s">
        <v>18</v>
      </c>
      <c r="C37" t="s">
        <v>26</v>
      </c>
      <c r="D37">
        <v>1</v>
      </c>
      <c r="E37" s="6">
        <v>46029</v>
      </c>
      <c r="F37" s="7">
        <v>1</v>
      </c>
      <c r="G37" s="5">
        <v>100</v>
      </c>
      <c r="H37" s="4">
        <v>0.35</v>
      </c>
      <c r="I37" s="5">
        <f>Base_stock[[#This Row],[PRECIO /COMPRA]]/(1-Base_stock[[#This Row],[% DE GANANCIA ]])</f>
        <v>153.84615384615384</v>
      </c>
    </row>
    <row r="38" spans="1:9" x14ac:dyDescent="0.3">
      <c r="A38" t="s">
        <v>53</v>
      </c>
      <c r="B38" t="s">
        <v>54</v>
      </c>
      <c r="C38" t="s">
        <v>55</v>
      </c>
      <c r="D38">
        <v>254646</v>
      </c>
      <c r="E38" s="6">
        <v>46241</v>
      </c>
      <c r="F38" s="7">
        <v>5</v>
      </c>
      <c r="G38" s="5">
        <v>2000.8</v>
      </c>
      <c r="H38" s="4">
        <v>0.3</v>
      </c>
      <c r="I38" s="5">
        <f>Base_stock[[#This Row],[PRECIO /COMPRA]]/(1-Base_stock[[#This Row],[% DE GANANCIA ]])</f>
        <v>2858.2857142857142</v>
      </c>
    </row>
    <row r="39" spans="1:9" x14ac:dyDescent="0.3">
      <c r="A39" t="s">
        <v>58</v>
      </c>
      <c r="B39" t="s">
        <v>59</v>
      </c>
      <c r="C39" t="s">
        <v>56</v>
      </c>
      <c r="D39">
        <v>8841562</v>
      </c>
      <c r="E39" s="6" t="s">
        <v>43</v>
      </c>
      <c r="F39" s="7">
        <v>10</v>
      </c>
      <c r="G39" s="5">
        <v>1850.25</v>
      </c>
      <c r="H39" s="4">
        <v>0.28000000000000003</v>
      </c>
      <c r="I39" s="5">
        <f>Base_stock[[#This Row],[PRECIO /COMPRA]]/(1-Base_stock[[#This Row],[% DE GANANCIA ]])</f>
        <v>2569.791666666667</v>
      </c>
    </row>
    <row r="40" spans="1:9" x14ac:dyDescent="0.3">
      <c r="A40" t="s">
        <v>61</v>
      </c>
      <c r="B40" t="s">
        <v>60</v>
      </c>
      <c r="C40" t="s">
        <v>75</v>
      </c>
      <c r="D40">
        <v>123</v>
      </c>
      <c r="E40" s="6">
        <v>46218</v>
      </c>
      <c r="F40" s="7">
        <v>20</v>
      </c>
      <c r="G40" s="5">
        <v>2000</v>
      </c>
      <c r="H40" s="4">
        <v>0.45</v>
      </c>
      <c r="I40" s="5">
        <f>Base_stock[[#This Row],[PRECIO /COMPRA]]/(1-Base_stock[[#This Row],[% DE GANANCIA ]])</f>
        <v>3636.363636363636</v>
      </c>
    </row>
    <row r="41" spans="1:9" x14ac:dyDescent="0.3">
      <c r="A41" t="s">
        <v>10</v>
      </c>
      <c r="B41" t="s">
        <v>18</v>
      </c>
      <c r="C41" t="s">
        <v>26</v>
      </c>
      <c r="D41">
        <v>285466</v>
      </c>
      <c r="E41" s="6" t="s">
        <v>49</v>
      </c>
      <c r="F41" s="7">
        <v>5</v>
      </c>
      <c r="G41" s="5">
        <v>2300</v>
      </c>
      <c r="H41" s="4">
        <v>0.35</v>
      </c>
      <c r="I41" s="5">
        <f>Base_stock[[#This Row],[PRECIO /COMPRA]]/(1-Base_stock[[#This Row],[% DE GANANCIA ]])</f>
        <v>3538.4615384615386</v>
      </c>
    </row>
    <row r="42" spans="1:9" x14ac:dyDescent="0.3">
      <c r="A42" t="s">
        <v>10</v>
      </c>
      <c r="B42" t="s">
        <v>18</v>
      </c>
      <c r="C42" t="s">
        <v>26</v>
      </c>
      <c r="D42">
        <v>2523</v>
      </c>
      <c r="E42" s="6">
        <v>46241</v>
      </c>
      <c r="F42" s="7">
        <v>8</v>
      </c>
      <c r="G42" s="5">
        <v>1500</v>
      </c>
      <c r="H42" s="4">
        <v>0.35</v>
      </c>
      <c r="I42" s="5">
        <f>Base_stock[[#This Row],[PRECIO /COMPRA]]/(1-Base_stock[[#This Row],[% DE GANANCIA ]])</f>
        <v>2307.6923076923076</v>
      </c>
    </row>
    <row r="43" spans="1:9" x14ac:dyDescent="0.3">
      <c r="A43" t="s">
        <v>61</v>
      </c>
      <c r="B43" t="s">
        <v>60</v>
      </c>
      <c r="C43" t="s">
        <v>56</v>
      </c>
      <c r="D43">
        <v>898456</v>
      </c>
      <c r="E43" s="6">
        <v>46241</v>
      </c>
      <c r="F43" s="7">
        <v>6</v>
      </c>
      <c r="G43" s="5">
        <v>1300</v>
      </c>
      <c r="H43" s="4">
        <v>0.45</v>
      </c>
      <c r="I43" s="5">
        <f>Base_stock[[#This Row],[PRECIO /COMPRA]]/(1-Base_stock[[#This Row],[% DE GANANCIA ]])</f>
        <v>2363.6363636363635</v>
      </c>
    </row>
    <row r="44" spans="1:9" x14ac:dyDescent="0.3">
      <c r="A44" t="s">
        <v>58</v>
      </c>
      <c r="B44" t="s">
        <v>59</v>
      </c>
      <c r="C44" t="s">
        <v>56</v>
      </c>
      <c r="D44">
        <v>3235646</v>
      </c>
      <c r="E44" s="6" t="s">
        <v>102</v>
      </c>
      <c r="F44" s="7">
        <v>5</v>
      </c>
      <c r="G44" s="5">
        <v>850</v>
      </c>
      <c r="H44" s="4">
        <v>0.28000000000000003</v>
      </c>
      <c r="I44" s="5">
        <f>Base_stock[[#This Row],[PRECIO /COMPRA]]/(1-Base_stock[[#This Row],[% DE GANANCIA ]])</f>
        <v>1180.5555555555557</v>
      </c>
    </row>
    <row r="45" spans="1:9" x14ac:dyDescent="0.3">
      <c r="A45" t="s">
        <v>10</v>
      </c>
      <c r="B45" t="s">
        <v>18</v>
      </c>
      <c r="C45" t="s">
        <v>26</v>
      </c>
      <c r="D45">
        <v>126325</v>
      </c>
      <c r="E45" s="6">
        <v>46242</v>
      </c>
      <c r="F45" s="7">
        <v>2</v>
      </c>
      <c r="G45" s="5">
        <v>1500</v>
      </c>
      <c r="H45" s="4">
        <v>0.35</v>
      </c>
      <c r="I45" s="5">
        <f>Base_stock[[#This Row],[PRECIO /COMPRA]]/(1-Base_stock[[#This Row],[% DE GANANCIA ]])</f>
        <v>2307.6923076923076</v>
      </c>
    </row>
    <row r="46" spans="1:9" x14ac:dyDescent="0.3">
      <c r="A46" t="s">
        <v>101</v>
      </c>
      <c r="B46" t="s">
        <v>104</v>
      </c>
      <c r="C46" t="s">
        <v>103</v>
      </c>
      <c r="D46">
        <v>951315</v>
      </c>
      <c r="E46" s="6" t="s">
        <v>106</v>
      </c>
      <c r="F46" s="7">
        <v>10</v>
      </c>
      <c r="G46" s="5">
        <v>2300</v>
      </c>
      <c r="H46" s="4">
        <v>0.5</v>
      </c>
      <c r="I46" s="5">
        <f>Base_stock[[#This Row],[PRECIO /COMPRA]]/(1-Base_stock[[#This Row],[% DE GANANCIA ]])</f>
        <v>4600</v>
      </c>
    </row>
    <row r="47" spans="1:9" x14ac:dyDescent="0.3">
      <c r="A47" t="s">
        <v>11</v>
      </c>
      <c r="B47" t="s">
        <v>19</v>
      </c>
      <c r="C47" t="s">
        <v>27</v>
      </c>
      <c r="D47">
        <v>16583</v>
      </c>
      <c r="E47" s="6">
        <v>46150</v>
      </c>
      <c r="F47" s="7">
        <v>2</v>
      </c>
      <c r="G47" s="5">
        <v>1800</v>
      </c>
      <c r="H47" s="4">
        <v>0.2</v>
      </c>
      <c r="I47" s="63">
        <f>Base_stock[[#This Row],[PRECIO /COMPRA]]/(1-Base_stock[[#This Row],[% DE GANANCIA ]])</f>
        <v>2250</v>
      </c>
    </row>
    <row r="48" spans="1:9" x14ac:dyDescent="0.3">
      <c r="A48" t="s">
        <v>101</v>
      </c>
      <c r="B48" t="s">
        <v>104</v>
      </c>
      <c r="C48" t="s">
        <v>103</v>
      </c>
      <c r="D48">
        <v>9461615</v>
      </c>
      <c r="E48" s="6">
        <v>46239</v>
      </c>
      <c r="F48" s="7">
        <v>5</v>
      </c>
      <c r="G48" s="5">
        <v>2300</v>
      </c>
      <c r="H48" s="4">
        <v>0.5</v>
      </c>
      <c r="I48" s="63">
        <f>Base_stock[[#This Row],[PRECIO /COMPRA]]/(1-Base_stock[[#This Row],[% DE GANANCIA ]])</f>
        <v>4600</v>
      </c>
    </row>
  </sheetData>
  <sheetProtection algorithmName="SHA-512" hashValue="kjCS68/bIKcA3w22anh+P6GLF2Eol1rAuHHILQsAe3N0K2VBJ9Orel1F0+VE76X+KIqkDid7kGfTkCKAhWOzcA==" saltValue="6UIaLdKAt3qWOKCTP5gUUA==" spinCount="100000"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31561-8088-4A87-89AC-77F553F17A52}">
  <sheetPr codeName="Hoja5"/>
  <dimension ref="C7:F12"/>
  <sheetViews>
    <sheetView showGridLines="0" topLeftCell="C1" workbookViewId="0">
      <selection activeCell="E8" sqref="E8:F8"/>
    </sheetView>
  </sheetViews>
  <sheetFormatPr baseColWidth="10" defaultRowHeight="14.4" x14ac:dyDescent="0.3"/>
  <cols>
    <col min="5" max="6" width="15.77734375" customWidth="1"/>
  </cols>
  <sheetData>
    <row r="7" spans="3:6" ht="18" x14ac:dyDescent="0.35">
      <c r="C7" s="36" t="s">
        <v>52</v>
      </c>
      <c r="D7" s="36"/>
      <c r="E7" s="36"/>
      <c r="F7" s="36"/>
    </row>
    <row r="8" spans="3:6" ht="25.05" customHeight="1" x14ac:dyDescent="0.3">
      <c r="C8" s="37" t="s">
        <v>9</v>
      </c>
      <c r="D8" s="37"/>
      <c r="E8" s="40"/>
      <c r="F8" s="40"/>
    </row>
    <row r="9" spans="3:6" ht="25.05" customHeight="1" x14ac:dyDescent="0.3">
      <c r="C9" s="37" t="s">
        <v>50</v>
      </c>
      <c r="D9" s="37"/>
      <c r="E9" s="40"/>
      <c r="F9" s="40"/>
    </row>
    <row r="10" spans="3:6" ht="25.05" customHeight="1" x14ac:dyDescent="0.3">
      <c r="C10" s="37" t="s">
        <v>2</v>
      </c>
      <c r="D10" s="37"/>
      <c r="E10" s="40"/>
      <c r="F10" s="40"/>
    </row>
    <row r="11" spans="3:6" ht="25.05" customHeight="1" x14ac:dyDescent="0.3">
      <c r="C11" s="37" t="s">
        <v>51</v>
      </c>
      <c r="D11" s="37"/>
      <c r="E11" s="40"/>
      <c r="F11" s="40"/>
    </row>
    <row r="12" spans="3:6" ht="25.05" customHeight="1" x14ac:dyDescent="0.3">
      <c r="C12" s="37" t="s">
        <v>7</v>
      </c>
      <c r="D12" s="37"/>
      <c r="E12" s="38"/>
      <c r="F12" s="39"/>
    </row>
  </sheetData>
  <sheetProtection algorithmName="SHA-512" hashValue="z4K8DA9Ar+3/IWe19jycL1YzPlPWQX2yC8Knv6OyfTSIgstrRpqiCMqwG7pe+7Ejko0KTKz9C8XA7PYmSYcpUw==" saltValue="kKeapec6oYxdtvnO6z6bLg==" spinCount="100000" sheet="1" objects="1" scenarios="1" selectLockedCells="1"/>
  <mergeCells count="11">
    <mergeCell ref="C7:F7"/>
    <mergeCell ref="C12:D12"/>
    <mergeCell ref="E12:F12"/>
    <mergeCell ref="C8:D8"/>
    <mergeCell ref="C9:D9"/>
    <mergeCell ref="C10:D10"/>
    <mergeCell ref="C11:D11"/>
    <mergeCell ref="E8:F8"/>
    <mergeCell ref="E9:F9"/>
    <mergeCell ref="E10:F10"/>
    <mergeCell ref="E11:F11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5DAA-774D-4F48-B20E-C25D1CB10A4F}">
  <sheetPr codeName="Hoja4"/>
  <dimension ref="A2:G14"/>
  <sheetViews>
    <sheetView workbookViewId="0">
      <selection activeCell="E26" sqref="E26"/>
    </sheetView>
  </sheetViews>
  <sheetFormatPr baseColWidth="10" defaultRowHeight="14.4" x14ac:dyDescent="0.3"/>
  <cols>
    <col min="1" max="1" width="17.109375" customWidth="1"/>
    <col min="2" max="2" width="12.44140625" customWidth="1"/>
    <col min="3" max="3" width="13.33203125" customWidth="1"/>
    <col min="6" max="6" width="16" bestFit="1" customWidth="1"/>
    <col min="7" max="7" width="14.6640625" customWidth="1"/>
  </cols>
  <sheetData>
    <row r="2" spans="1:7" x14ac:dyDescent="0.3">
      <c r="A2" t="s">
        <v>9</v>
      </c>
      <c r="B2" t="s">
        <v>0</v>
      </c>
      <c r="C2" t="s">
        <v>2</v>
      </c>
      <c r="D2" t="s">
        <v>51</v>
      </c>
      <c r="E2" t="s">
        <v>7</v>
      </c>
      <c r="F2" t="s">
        <v>48</v>
      </c>
      <c r="G2" t="s">
        <v>74</v>
      </c>
    </row>
    <row r="3" spans="1:7" x14ac:dyDescent="0.3">
      <c r="A3" t="s">
        <v>10</v>
      </c>
      <c r="B3" t="s">
        <v>18</v>
      </c>
      <c r="C3" t="s">
        <v>26</v>
      </c>
      <c r="D3" t="s">
        <v>32</v>
      </c>
      <c r="E3" s="4">
        <v>0.35</v>
      </c>
      <c r="F3">
        <f ca="1">(SUMIF(Base_stock[],COD_PROD[[#This Row],[COD. PRODUCTO]],Base_stock[CANTIDAD]))-(SUMIF(VENTAS[],COD_PROD[[#This Row],[COD. PRODUCTO]],VENTAS[PRODUCTO]))</f>
        <v>25</v>
      </c>
      <c r="G3" s="8">
        <f>_xlfn.MAXIFS( Base_stock[PRECIO /COMPRA],Base_stock[COD. PRODUCTO],COD_PROD[[#This Row],[COD. PRODUCTO]])/(1-COD_PROD[[#This Row],[% DE GANANCIA]])</f>
        <v>4615.3846153846152</v>
      </c>
    </row>
    <row r="4" spans="1:7" x14ac:dyDescent="0.3">
      <c r="A4" t="s">
        <v>11</v>
      </c>
      <c r="B4" t="s">
        <v>19</v>
      </c>
      <c r="C4" t="s">
        <v>27</v>
      </c>
      <c r="D4" t="s">
        <v>32</v>
      </c>
      <c r="E4" s="4">
        <v>0.2</v>
      </c>
      <c r="F4">
        <f ca="1">(SUMIF(Base_stock[],COD_PROD[[#This Row],[COD. PRODUCTO]],Base_stock[CANTIDAD]))-(SUMIF(VENTAS[],COD_PROD[[#This Row],[COD. PRODUCTO]],VENTAS[PRODUCTO]))</f>
        <v>26</v>
      </c>
      <c r="G4" s="8">
        <f>_xlfn.MAXIFS( Base_stock[PRECIO /COMPRA],Base_stock[COD. PRODUCTO],COD_PROD[[#This Row],[COD. PRODUCTO]])/(1-COD_PROD[[#This Row],[% DE GANANCIA]])</f>
        <v>2500</v>
      </c>
    </row>
    <row r="5" spans="1:7" x14ac:dyDescent="0.3">
      <c r="A5" t="s">
        <v>12</v>
      </c>
      <c r="B5" t="s">
        <v>20</v>
      </c>
      <c r="C5" t="s">
        <v>27</v>
      </c>
      <c r="D5" t="s">
        <v>32</v>
      </c>
      <c r="E5" s="4">
        <v>0.18</v>
      </c>
      <c r="F5">
        <f ca="1">(SUMIF(Base_stock[],COD_PROD[[#This Row],[COD. PRODUCTO]],Base_stock[CANTIDAD]))-(SUMIF(VENTAS[],COD_PROD[[#This Row],[COD. PRODUCTO]],VENTAS[PRODUCTO]))</f>
        <v>39</v>
      </c>
      <c r="G5" s="8">
        <f>_xlfn.MAXIFS( Base_stock[PRECIO /COMPRA],Base_stock[COD. PRODUCTO],COD_PROD[[#This Row],[COD. PRODUCTO]])/(1-COD_PROD[[#This Row],[% DE GANANCIA]])</f>
        <v>3079.6341463414633</v>
      </c>
    </row>
    <row r="6" spans="1:7" x14ac:dyDescent="0.3">
      <c r="A6" t="s">
        <v>13</v>
      </c>
      <c r="B6" t="s">
        <v>21</v>
      </c>
      <c r="C6" t="s">
        <v>28</v>
      </c>
      <c r="D6" t="s">
        <v>33</v>
      </c>
      <c r="E6" s="4">
        <v>0.35</v>
      </c>
      <c r="F6">
        <f ca="1">(SUMIF(Base_stock[],COD_PROD[[#This Row],[COD. PRODUCTO]],Base_stock[CANTIDAD]))-(SUMIF(VENTAS[],COD_PROD[[#This Row],[COD. PRODUCTO]],VENTAS[PRODUCTO]))</f>
        <v>2</v>
      </c>
      <c r="G6" s="8">
        <f>_xlfn.MAXIFS( Base_stock[PRECIO /COMPRA],Base_stock[COD. PRODUCTO],COD_PROD[[#This Row],[COD. PRODUCTO]])/(1-COD_PROD[[#This Row],[% DE GANANCIA]])</f>
        <v>4615.3846153846152</v>
      </c>
    </row>
    <row r="7" spans="1:7" x14ac:dyDescent="0.3">
      <c r="A7" t="s">
        <v>14</v>
      </c>
      <c r="B7" t="s">
        <v>22</v>
      </c>
      <c r="C7" t="s">
        <v>28</v>
      </c>
      <c r="D7" t="s">
        <v>33</v>
      </c>
      <c r="E7" s="4">
        <v>0.3</v>
      </c>
      <c r="F7">
        <f ca="1">(SUMIF(Base_stock[],COD_PROD[[#This Row],[COD. PRODUCTO]],Base_stock[CANTIDAD]))-(SUMIF(VENTAS[],COD_PROD[[#This Row],[COD. PRODUCTO]],VENTAS[PRODUCTO]))</f>
        <v>24</v>
      </c>
      <c r="G7" s="8">
        <f>_xlfn.MAXIFS( Base_stock[PRECIO /COMPRA],Base_stock[COD. PRODUCTO],COD_PROD[[#This Row],[COD. PRODUCTO]])/(1-COD_PROD[[#This Row],[% DE GANANCIA]])</f>
        <v>4000.0000000000005</v>
      </c>
    </row>
    <row r="8" spans="1:7" x14ac:dyDescent="0.3">
      <c r="A8" t="s">
        <v>15</v>
      </c>
      <c r="B8" t="s">
        <v>23</v>
      </c>
      <c r="C8" t="s">
        <v>29</v>
      </c>
      <c r="D8" t="s">
        <v>34</v>
      </c>
      <c r="E8" s="4">
        <v>0.5</v>
      </c>
      <c r="F8">
        <f ca="1">(SUMIF(Base_stock[],COD_PROD[[#This Row],[COD. PRODUCTO]],Base_stock[CANTIDAD]))-(SUMIF(VENTAS[],COD_PROD[[#This Row],[COD. PRODUCTO]],VENTAS[PRODUCTO]))</f>
        <v>13</v>
      </c>
      <c r="G8" s="8">
        <f>_xlfn.MAXIFS( Base_stock[PRECIO /COMPRA],Base_stock[COD. PRODUCTO],COD_PROD[[#This Row],[COD. PRODUCTO]])/(1-COD_PROD[[#This Row],[% DE GANANCIA]])</f>
        <v>5000</v>
      </c>
    </row>
    <row r="9" spans="1:7" x14ac:dyDescent="0.3">
      <c r="A9" t="s">
        <v>16</v>
      </c>
      <c r="B9" t="s">
        <v>24</v>
      </c>
      <c r="C9" t="s">
        <v>30</v>
      </c>
      <c r="D9" t="s">
        <v>34</v>
      </c>
      <c r="E9" s="4">
        <v>0.4</v>
      </c>
      <c r="F9">
        <f ca="1">(SUMIF(Base_stock[],COD_PROD[[#This Row],[COD. PRODUCTO]],Base_stock[CANTIDAD]))-(SUMIF(VENTAS[],COD_PROD[[#This Row],[COD. PRODUCTO]],VENTAS[PRODUCTO]))</f>
        <v>5</v>
      </c>
      <c r="G9" s="8">
        <f>_xlfn.MAXIFS( Base_stock[PRECIO /COMPRA],Base_stock[COD. PRODUCTO],COD_PROD[[#This Row],[COD. PRODUCTO]])/(1-COD_PROD[[#This Row],[% DE GANANCIA]])</f>
        <v>3000</v>
      </c>
    </row>
    <row r="10" spans="1:7" x14ac:dyDescent="0.3">
      <c r="A10" t="s">
        <v>17</v>
      </c>
      <c r="B10" t="s">
        <v>25</v>
      </c>
      <c r="C10" t="s">
        <v>31</v>
      </c>
      <c r="D10" t="s">
        <v>35</v>
      </c>
      <c r="E10" s="4">
        <v>0.2</v>
      </c>
      <c r="F10">
        <f ca="1">(SUMIF(Base_stock[],COD_PROD[[#This Row],[COD. PRODUCTO]],Base_stock[CANTIDAD]))-(SUMIF(VENTAS[],COD_PROD[[#This Row],[COD. PRODUCTO]],VENTAS[PRODUCTO]))</f>
        <v>23</v>
      </c>
      <c r="G10" s="8">
        <f>_xlfn.MAXIFS( Base_stock[PRECIO /COMPRA],Base_stock[COD. PRODUCTO],COD_PROD[[#This Row],[COD. PRODUCTO]])/(1-COD_PROD[[#This Row],[% DE GANANCIA]])</f>
        <v>2250</v>
      </c>
    </row>
    <row r="11" spans="1:7" x14ac:dyDescent="0.3">
      <c r="A11" t="s">
        <v>53</v>
      </c>
      <c r="B11" t="s">
        <v>54</v>
      </c>
      <c r="C11" t="s">
        <v>55</v>
      </c>
      <c r="D11" t="s">
        <v>32</v>
      </c>
      <c r="E11" s="4">
        <v>0.3</v>
      </c>
      <c r="F11">
        <f ca="1">(SUMIF(Base_stock[],COD_PROD[[#This Row],[COD. PRODUCTO]],Base_stock[CANTIDAD]))-(SUMIF(VENTAS[],COD_PROD[[#This Row],[COD. PRODUCTO]],VENTAS[PRODUCTO]))</f>
        <v>5</v>
      </c>
      <c r="G11" s="8">
        <f>_xlfn.MAXIFS( Base_stock[PRECIO /COMPRA],Base_stock[COD. PRODUCTO],COD_PROD[[#This Row],[COD. PRODUCTO]])/(1-COD_PROD[[#This Row],[% DE GANANCIA]])</f>
        <v>2858.2857142857142</v>
      </c>
    </row>
    <row r="12" spans="1:7" x14ac:dyDescent="0.3">
      <c r="A12" t="s">
        <v>58</v>
      </c>
      <c r="B12" t="s">
        <v>59</v>
      </c>
      <c r="C12" t="s">
        <v>56</v>
      </c>
      <c r="D12" t="s">
        <v>57</v>
      </c>
      <c r="E12" s="4">
        <v>0.28000000000000003</v>
      </c>
      <c r="F12">
        <f ca="1">(SUMIF(Base_stock[],COD_PROD[[#This Row],[COD. PRODUCTO]],Base_stock[CANTIDAD]))-(SUMIF(VENTAS[],COD_PROD[[#This Row],[COD. PRODUCTO]],VENTAS[PRODUCTO]))</f>
        <v>13</v>
      </c>
      <c r="G12" s="8">
        <f>_xlfn.MAXIFS( Base_stock[PRECIO /COMPRA],Base_stock[COD. PRODUCTO],COD_PROD[[#This Row],[COD. PRODUCTO]])/(1-COD_PROD[[#This Row],[% DE GANANCIA]])</f>
        <v>2569.791666666667</v>
      </c>
    </row>
    <row r="13" spans="1:7" x14ac:dyDescent="0.3">
      <c r="A13" t="s">
        <v>61</v>
      </c>
      <c r="B13" t="s">
        <v>60</v>
      </c>
      <c r="C13" t="s">
        <v>56</v>
      </c>
      <c r="D13" t="s">
        <v>57</v>
      </c>
      <c r="E13" s="4">
        <v>0.45</v>
      </c>
      <c r="F13">
        <f ca="1">(SUMIF(Base_stock[],COD_PROD[[#This Row],[COD. PRODUCTO]],Base_stock[CANTIDAD]))-(SUMIF(VENTAS[],COD_PROD[[#This Row],[COD. PRODUCTO]],VENTAS[PRODUCTO]))</f>
        <v>26</v>
      </c>
      <c r="G13" s="8">
        <f>_xlfn.MAXIFS( Base_stock[PRECIO /COMPRA],Base_stock[COD. PRODUCTO],COD_PROD[[#This Row],[COD. PRODUCTO]])/(1-COD_PROD[[#This Row],[% DE GANANCIA]])</f>
        <v>3636.363636363636</v>
      </c>
    </row>
    <row r="14" spans="1:7" x14ac:dyDescent="0.3">
      <c r="A14" t="s">
        <v>101</v>
      </c>
      <c r="B14" t="s">
        <v>104</v>
      </c>
      <c r="C14" t="s">
        <v>103</v>
      </c>
      <c r="D14" t="s">
        <v>105</v>
      </c>
      <c r="E14" s="4">
        <v>0.5</v>
      </c>
      <c r="F14">
        <f ca="1">(SUMIF(Base_stock[],COD_PROD[[#This Row],[COD. PRODUCTO]],Base_stock[CANTIDAD]))-(SUMIF(VENTAS[],COD_PROD[[#This Row],[COD. PRODUCTO]],VENTAS[PRODUCTO]))</f>
        <v>12</v>
      </c>
      <c r="G14" s="8">
        <f>_xlfn.MAXIFS( Base_stock[PRECIO /COMPRA],Base_stock[COD. PRODUCTO],COD_PROD[[#This Row],[COD. PRODUCTO]])/(1-COD_PROD[[#This Row],[% DE GANANCIA]])</f>
        <v>4600</v>
      </c>
    </row>
  </sheetData>
  <sheetProtection algorithmName="SHA-512" hashValue="rjC2lvEjtQPOvNIpqOSbx72vyr9oQMjIMw8GahFnS5RcU8NxU2zv1vMC7gchWhN/BHysYQKhKcSc1/fohj9r/g==" saltValue="BrHZHUeweRCFFyhdWF31GA==" spinCount="100000" sheet="1" objects="1" scenarios="1"/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02091-A724-4674-9F6D-D1402ECA1F4C}">
  <sheetPr codeName="Hoja6"/>
  <dimension ref="C2:K21"/>
  <sheetViews>
    <sheetView workbookViewId="0">
      <selection activeCell="E4" sqref="E4:F4"/>
    </sheetView>
  </sheetViews>
  <sheetFormatPr baseColWidth="10" defaultRowHeight="14.4" x14ac:dyDescent="0.3"/>
  <sheetData>
    <row r="2" spans="3:11" ht="23.4" x14ac:dyDescent="0.45">
      <c r="C2" s="52" t="s">
        <v>80</v>
      </c>
      <c r="D2" s="53"/>
      <c r="E2" s="53"/>
      <c r="F2" s="53"/>
      <c r="G2" s="53"/>
      <c r="H2" s="53"/>
      <c r="I2" s="54"/>
      <c r="K2" s="12">
        <v>4</v>
      </c>
    </row>
    <row r="3" spans="3:11" x14ac:dyDescent="0.3">
      <c r="C3" s="1"/>
      <c r="I3" s="2"/>
    </row>
    <row r="4" spans="3:11" x14ac:dyDescent="0.3">
      <c r="C4" s="41" t="s">
        <v>62</v>
      </c>
      <c r="D4" s="41"/>
      <c r="E4" s="44"/>
      <c r="F4" s="44"/>
      <c r="H4" s="57" t="s">
        <v>83</v>
      </c>
      <c r="I4" s="57"/>
    </row>
    <row r="5" spans="3:11" x14ac:dyDescent="0.3">
      <c r="C5" s="41" t="s">
        <v>63</v>
      </c>
      <c r="D5" s="41"/>
      <c r="E5" s="46" t="str">
        <f>IF(E4="","",VLOOKUP(E4,VENDEDORES[],2,FALSE))</f>
        <v/>
      </c>
      <c r="F5" s="46"/>
      <c r="H5" s="57">
        <f>K2+1</f>
        <v>5</v>
      </c>
      <c r="I5" s="57"/>
    </row>
    <row r="6" spans="3:11" x14ac:dyDescent="0.3">
      <c r="C6" s="42"/>
      <c r="D6" s="43"/>
      <c r="E6" s="43"/>
      <c r="F6" s="43"/>
      <c r="I6" s="2"/>
    </row>
    <row r="7" spans="3:11" x14ac:dyDescent="0.3">
      <c r="C7" s="41" t="s">
        <v>64</v>
      </c>
      <c r="D7" s="41"/>
      <c r="E7" s="44"/>
      <c r="F7" s="44"/>
      <c r="H7" s="55" t="s">
        <v>81</v>
      </c>
      <c r="I7" s="55"/>
    </row>
    <row r="8" spans="3:11" x14ac:dyDescent="0.3">
      <c r="C8" s="41" t="s">
        <v>65</v>
      </c>
      <c r="D8" s="41"/>
      <c r="E8" s="44"/>
      <c r="F8" s="44"/>
      <c r="H8" s="56">
        <f ca="1">TODAY()</f>
        <v>46267</v>
      </c>
      <c r="I8" s="55"/>
    </row>
    <row r="9" spans="3:11" x14ac:dyDescent="0.3">
      <c r="C9" s="41" t="s">
        <v>66</v>
      </c>
      <c r="D9" s="41"/>
      <c r="E9" s="44"/>
      <c r="F9" s="44"/>
      <c r="I9" s="2"/>
    </row>
    <row r="10" spans="3:11" x14ac:dyDescent="0.3">
      <c r="C10" s="41" t="s">
        <v>67</v>
      </c>
      <c r="D10" s="41"/>
      <c r="E10" s="44"/>
      <c r="F10" s="44"/>
      <c r="I10" s="2"/>
    </row>
    <row r="11" spans="3:11" x14ac:dyDescent="0.3">
      <c r="C11" s="42"/>
      <c r="D11" s="43"/>
      <c r="E11" s="43"/>
      <c r="F11" s="43"/>
      <c r="I11" s="2"/>
    </row>
    <row r="12" spans="3:11" x14ac:dyDescent="0.3">
      <c r="C12" s="42"/>
      <c r="D12" s="43"/>
      <c r="E12" s="43"/>
      <c r="F12" s="43"/>
      <c r="I12" s="2"/>
    </row>
    <row r="13" spans="3:11" x14ac:dyDescent="0.3">
      <c r="C13" s="48" t="s">
        <v>68</v>
      </c>
      <c r="D13" s="48"/>
      <c r="E13" s="48"/>
      <c r="F13" s="48"/>
      <c r="G13" s="48"/>
      <c r="H13" s="48"/>
      <c r="I13" s="48"/>
    </row>
    <row r="14" spans="3:11" x14ac:dyDescent="0.3">
      <c r="C14" s="45" t="s">
        <v>9</v>
      </c>
      <c r="D14" s="45"/>
      <c r="E14" s="45" t="s">
        <v>69</v>
      </c>
      <c r="F14" s="45"/>
      <c r="G14" s="10" t="s">
        <v>70</v>
      </c>
      <c r="H14" s="10" t="s">
        <v>71</v>
      </c>
      <c r="I14" s="10" t="s">
        <v>73</v>
      </c>
    </row>
    <row r="15" spans="3:11" x14ac:dyDescent="0.3">
      <c r="C15" s="44"/>
      <c r="D15" s="44"/>
      <c r="E15" s="46" t="str">
        <f>IF(C15="","",VLOOKUP(C15,COD_PROD[],2,FALSE))</f>
        <v/>
      </c>
      <c r="F15" s="46"/>
      <c r="G15" s="11"/>
      <c r="H15" s="9">
        <f>IF(C15="",0,IFERROR(VLOOKUP(C15,COD_PROD[],7,FALSE),"CODIGO NO EXISTE"))</f>
        <v>0</v>
      </c>
      <c r="I15" s="9" t="str">
        <f>IF(G15="","",H15*G15)</f>
        <v/>
      </c>
    </row>
    <row r="16" spans="3:11" x14ac:dyDescent="0.3">
      <c r="C16" s="44"/>
      <c r="D16" s="44"/>
      <c r="E16" s="46" t="str">
        <f>IF(C16="","",VLOOKUP(C16,COD_PROD[],2,FALSE))</f>
        <v/>
      </c>
      <c r="F16" s="46"/>
      <c r="G16" s="11"/>
      <c r="H16" s="9">
        <f>IF(C16="",0,IFERROR(VLOOKUP(C16,COD_PROD[],7,FALSE),"CODIGO NO EXISTE"))</f>
        <v>0</v>
      </c>
      <c r="I16" s="9" t="str">
        <f>IF(G16="","",H16*G16)</f>
        <v/>
      </c>
    </row>
    <row r="17" spans="3:9" x14ac:dyDescent="0.3">
      <c r="C17" s="44"/>
      <c r="D17" s="44"/>
      <c r="E17" s="46" t="str">
        <f>IF(C17="","",VLOOKUP(C17,COD_PROD[],2,FALSE))</f>
        <v/>
      </c>
      <c r="F17" s="46"/>
      <c r="G17" s="11"/>
      <c r="H17" s="9">
        <f>IF(C17="",0,IFERROR(VLOOKUP(C17,COD_PROD[],7,FALSE),"CODIGO NO EXISTE"))</f>
        <v>0</v>
      </c>
      <c r="I17" s="9" t="str">
        <f t="shared" ref="I17:I19" si="0">IF(G17="","",H17*G17)</f>
        <v/>
      </c>
    </row>
    <row r="18" spans="3:9" x14ac:dyDescent="0.3">
      <c r="C18" s="44"/>
      <c r="D18" s="44"/>
      <c r="E18" s="46" t="str">
        <f>IF(C18="","",VLOOKUP(C18,COD_PROD[],2,FALSE))</f>
        <v/>
      </c>
      <c r="F18" s="46"/>
      <c r="G18" s="11"/>
      <c r="H18" s="9">
        <f>IF(C18="",0,IFERROR(VLOOKUP(C18,COD_PROD[],7,FALSE),"CODIGO NO EXISTE"))</f>
        <v>0</v>
      </c>
      <c r="I18" s="9" t="str">
        <f t="shared" si="0"/>
        <v/>
      </c>
    </row>
    <row r="19" spans="3:9" x14ac:dyDescent="0.3">
      <c r="C19" s="44"/>
      <c r="D19" s="44"/>
      <c r="E19" s="46" t="str">
        <f>IF(C19="","",VLOOKUP(C19,COD_PROD[],2,FALSE))</f>
        <v/>
      </c>
      <c r="F19" s="46"/>
      <c r="G19" s="11"/>
      <c r="H19" s="9">
        <f>IF(C19="",0,IFERROR(VLOOKUP(C19,COD_PROD[],7,FALSE),"CODIGO NO EXISTE"))</f>
        <v>0</v>
      </c>
      <c r="I19" s="9" t="str">
        <f t="shared" si="0"/>
        <v/>
      </c>
    </row>
    <row r="20" spans="3:9" x14ac:dyDescent="0.3">
      <c r="C20" s="49"/>
      <c r="D20" s="50"/>
      <c r="E20" s="50"/>
      <c r="F20" s="50"/>
      <c r="G20" s="50"/>
      <c r="H20" s="50"/>
      <c r="I20" s="58"/>
    </row>
    <row r="21" spans="3:9" ht="23.4" x14ac:dyDescent="0.45">
      <c r="C21" s="51" t="s">
        <v>72</v>
      </c>
      <c r="D21" s="51"/>
      <c r="E21" s="51"/>
      <c r="F21" s="51"/>
      <c r="G21" s="47">
        <f>SUM(I15:I19)</f>
        <v>0</v>
      </c>
      <c r="H21" s="47"/>
      <c r="I21" s="47"/>
    </row>
  </sheetData>
  <sheetProtection algorithmName="SHA-512" hashValue="H1h02+IwTJppmDRvBJEtjnxnoSGPBWYDN9oy7FAUc8fD5XQ7tf4wVDJLYVfPI8wgLioXuiN751hQg0xsoXRMSA==" saltValue="xsYU/2gTz//Xj/iWgAF4LA==" spinCount="100000" sheet="1" objects="1" scenarios="1" selectLockedCells="1"/>
  <mergeCells count="40">
    <mergeCell ref="G21:I21"/>
    <mergeCell ref="C13:I13"/>
    <mergeCell ref="C20:F20"/>
    <mergeCell ref="C21:F21"/>
    <mergeCell ref="C2:I2"/>
    <mergeCell ref="H7:I7"/>
    <mergeCell ref="H8:I8"/>
    <mergeCell ref="H4:I4"/>
    <mergeCell ref="H5:I5"/>
    <mergeCell ref="G20:I20"/>
    <mergeCell ref="E16:F16"/>
    <mergeCell ref="E17:F17"/>
    <mergeCell ref="E18:F18"/>
    <mergeCell ref="E19:F19"/>
    <mergeCell ref="C16:D16"/>
    <mergeCell ref="C17:D17"/>
    <mergeCell ref="C18:D18"/>
    <mergeCell ref="C19:D19"/>
    <mergeCell ref="E10:F10"/>
    <mergeCell ref="E11:F11"/>
    <mergeCell ref="E12:F12"/>
    <mergeCell ref="E14:F14"/>
    <mergeCell ref="E15:F15"/>
    <mergeCell ref="C15:D15"/>
    <mergeCell ref="E4:F4"/>
    <mergeCell ref="E5:F5"/>
    <mergeCell ref="E6:F6"/>
    <mergeCell ref="E7:F7"/>
    <mergeCell ref="E8:F8"/>
    <mergeCell ref="E9:F9"/>
    <mergeCell ref="C10:D10"/>
    <mergeCell ref="C11:D11"/>
    <mergeCell ref="C12:D12"/>
    <mergeCell ref="C14:D14"/>
    <mergeCell ref="C9:D9"/>
    <mergeCell ref="C4:D4"/>
    <mergeCell ref="C5:D5"/>
    <mergeCell ref="C6:D6"/>
    <mergeCell ref="C7:D7"/>
    <mergeCell ref="C8:D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89BC9-F914-4200-91DF-315033222C27}">
  <sheetPr codeName="Hoja8"/>
  <dimension ref="A3:N13"/>
  <sheetViews>
    <sheetView workbookViewId="0">
      <selection activeCell="E24" sqref="E24"/>
    </sheetView>
  </sheetViews>
  <sheetFormatPr baseColWidth="10" defaultRowHeight="14.4" x14ac:dyDescent="0.3"/>
  <cols>
    <col min="1" max="1" width="12.6640625" bestFit="1" customWidth="1"/>
    <col min="2" max="2" width="17.109375" customWidth="1"/>
    <col min="3" max="3" width="12.44140625" customWidth="1"/>
    <col min="4" max="4" width="11.77734375" customWidth="1"/>
    <col min="5" max="5" width="18" customWidth="1"/>
    <col min="6" max="6" width="12.21875" customWidth="1"/>
    <col min="7" max="8" width="18.88671875" customWidth="1"/>
    <col min="11" max="11" width="12.21875" customWidth="1"/>
    <col min="13" max="13" width="19.5546875" customWidth="1"/>
  </cols>
  <sheetData>
    <row r="3" spans="1:14" x14ac:dyDescent="0.3">
      <c r="A3" t="s">
        <v>88</v>
      </c>
      <c r="B3" t="s">
        <v>9</v>
      </c>
      <c r="C3" t="s">
        <v>0</v>
      </c>
      <c r="D3" t="s">
        <v>5</v>
      </c>
      <c r="E3" t="s">
        <v>82</v>
      </c>
      <c r="F3" t="s">
        <v>73</v>
      </c>
      <c r="G3" t="s">
        <v>83</v>
      </c>
      <c r="H3" t="s">
        <v>87</v>
      </c>
      <c r="I3" t="s">
        <v>84</v>
      </c>
      <c r="J3" t="s">
        <v>65</v>
      </c>
      <c r="K3" t="s">
        <v>85</v>
      </c>
      <c r="L3" t="s">
        <v>86</v>
      </c>
      <c r="M3" t="s">
        <v>112</v>
      </c>
      <c r="N3" t="s">
        <v>113</v>
      </c>
    </row>
    <row r="4" spans="1:14" x14ac:dyDescent="0.3">
      <c r="C4" t="str">
        <f>IF(VENTAS[[#This Row],[COD. PRODUCTO]]="","",VLOOKUP(VENTAS[[#This Row],[COD. PRODUCTO]],COD_PROD[],2,FALSE))</f>
        <v/>
      </c>
      <c r="E4" s="5">
        <f>IF(VENTAS[[#This Row],[COD. PRODUCTO]]="",0,VLOOKUP(VENTAS[[#This Row],[COD. PRODUCTO]],COD_PROD[],7,FALSE))</f>
        <v>0</v>
      </c>
      <c r="F4" s="5">
        <f>VENTAS[[#This Row],[CANTIDAD]]*VENTAS[[#This Row],[PRECIO UNITARIO]]</f>
        <v>0</v>
      </c>
      <c r="H4" s="13"/>
      <c r="M4" s="13" t="str">
        <f>TEXT(VENTAS[[#This Row],[FECHA DE TRANSACCION]],"MMMM")</f>
        <v>enero</v>
      </c>
      <c r="N4">
        <f>YEAR(VENTAS[[#This Row],[FECHA DE TRANSACCION]])</f>
        <v>1900</v>
      </c>
    </row>
    <row r="5" spans="1:14" x14ac:dyDescent="0.3">
      <c r="A5" t="s">
        <v>93</v>
      </c>
      <c r="B5" t="s">
        <v>101</v>
      </c>
      <c r="C5" t="str">
        <f>IF(VENTAS[[#This Row],[COD. PRODUCTO]]="","",VLOOKUP(VENTAS[[#This Row],[COD. PRODUCTO]],COD_PROD[],2,FALSE))</f>
        <v>TV 43' LED</v>
      </c>
      <c r="D5">
        <v>1</v>
      </c>
      <c r="E5" s="5">
        <f>IF(VENTAS[[#This Row],[COD. PRODUCTO]]="",0,VLOOKUP(VENTAS[[#This Row],[COD. PRODUCTO]],COD_PROD[],7,FALSE))</f>
        <v>4600</v>
      </c>
      <c r="F5" s="5">
        <f>VENTAS[[#This Row],[CANTIDAD]]*VENTAS[[#This Row],[PRECIO UNITARIO]]</f>
        <v>4600</v>
      </c>
      <c r="G5">
        <v>1</v>
      </c>
      <c r="H5" s="19">
        <v>46267</v>
      </c>
      <c r="I5" t="s">
        <v>107</v>
      </c>
      <c r="J5" t="s">
        <v>108</v>
      </c>
      <c r="K5" t="s">
        <v>109</v>
      </c>
      <c r="L5">
        <v>45161623</v>
      </c>
      <c r="M5" s="13" t="str">
        <f>TEXT(VENTAS[[#This Row],[FECHA DE TRANSACCION]],"MMMM")</f>
        <v>septiembre</v>
      </c>
      <c r="N5">
        <f>YEAR(VENTAS[[#This Row],[FECHA DE TRANSACCION]])</f>
        <v>2026</v>
      </c>
    </row>
    <row r="6" spans="1:14" x14ac:dyDescent="0.3">
      <c r="A6" t="s">
        <v>93</v>
      </c>
      <c r="B6" t="s">
        <v>11</v>
      </c>
      <c r="C6" t="str">
        <f>IF(VENTAS[[#This Row],[COD. PRODUCTO]]="","",VLOOKUP(VENTAS[[#This Row],[COD. PRODUCTO]],COD_PROD[],2,FALSE))</f>
        <v>CAMA MATRIMONIAL</v>
      </c>
      <c r="D6">
        <v>2</v>
      </c>
      <c r="E6" s="5">
        <f>IF(VENTAS[[#This Row],[COD. PRODUCTO]]="",0,VLOOKUP(VENTAS[[#This Row],[COD. PRODUCTO]],COD_PROD[],7,FALSE))</f>
        <v>2500</v>
      </c>
      <c r="F6" s="5">
        <f>VENTAS[[#This Row],[CANTIDAD]]*VENTAS[[#This Row],[PRECIO UNITARIO]]</f>
        <v>5000</v>
      </c>
      <c r="G6">
        <v>1</v>
      </c>
      <c r="H6" s="13">
        <v>46267</v>
      </c>
      <c r="I6" t="s">
        <v>107</v>
      </c>
      <c r="J6" t="s">
        <v>108</v>
      </c>
      <c r="K6" t="s">
        <v>109</v>
      </c>
      <c r="L6">
        <v>45161623</v>
      </c>
      <c r="M6" s="13" t="str">
        <f>TEXT(VENTAS[[#This Row],[FECHA DE TRANSACCION]],"MMMM")</f>
        <v>septiembre</v>
      </c>
      <c r="N6">
        <f>YEAR(VENTAS[[#This Row],[FECHA DE TRANSACCION]])</f>
        <v>2026</v>
      </c>
    </row>
    <row r="7" spans="1:14" x14ac:dyDescent="0.3">
      <c r="A7" t="s">
        <v>93</v>
      </c>
      <c r="B7" t="s">
        <v>12</v>
      </c>
      <c r="C7" t="str">
        <f>IF(VENTAS[[#This Row],[COD. PRODUCTO]]="","",VLOOKUP(VENTAS[[#This Row],[COD. PRODUCTO]],COD_PROD[],2,FALSE))</f>
        <v>CAMA IMPERIAL</v>
      </c>
      <c r="D7">
        <v>1</v>
      </c>
      <c r="E7" s="5">
        <f>IF(VENTAS[[#This Row],[COD. PRODUCTO]]="",0,VLOOKUP(VENTAS[[#This Row],[COD. PRODUCTO]],COD_PROD[],7,FALSE))</f>
        <v>3079.6341463414633</v>
      </c>
      <c r="F7" s="5">
        <f>VENTAS[[#This Row],[CANTIDAD]]*VENTAS[[#This Row],[PRECIO UNITARIO]]</f>
        <v>3079.6341463414633</v>
      </c>
      <c r="G7">
        <v>1</v>
      </c>
      <c r="H7" s="13">
        <v>46267</v>
      </c>
      <c r="I7" t="s">
        <v>107</v>
      </c>
      <c r="J7" t="s">
        <v>108</v>
      </c>
      <c r="K7" t="s">
        <v>109</v>
      </c>
      <c r="L7">
        <v>45161623</v>
      </c>
      <c r="M7" s="13" t="str">
        <f>TEXT(VENTAS[[#This Row],[FECHA DE TRANSACCION]],"MMMM")</f>
        <v>septiembre</v>
      </c>
      <c r="N7">
        <f>YEAR(VENTAS[[#This Row],[FECHA DE TRANSACCION]])</f>
        <v>2026</v>
      </c>
    </row>
    <row r="8" spans="1:14" x14ac:dyDescent="0.3">
      <c r="A8" t="s">
        <v>95</v>
      </c>
      <c r="B8" t="s">
        <v>14</v>
      </c>
      <c r="C8" t="str">
        <f>IF(VENTAS[[#This Row],[COD. PRODUCTO]]="","",VLOOKUP(VENTAS[[#This Row],[COD. PRODUCTO]],COD_PROD[],2,FALSE))</f>
        <v>CLOSET 2C</v>
      </c>
      <c r="D8">
        <v>1</v>
      </c>
      <c r="E8" s="5">
        <f>IF(VENTAS[[#This Row],[COD. PRODUCTO]]="",0,VLOOKUP(VENTAS[[#This Row],[COD. PRODUCTO]],COD_PROD[],7,FALSE))</f>
        <v>4000.0000000000005</v>
      </c>
      <c r="F8" s="5">
        <f>VENTAS[[#This Row],[CANTIDAD]]*VENTAS[[#This Row],[PRECIO UNITARIO]]</f>
        <v>4000.0000000000005</v>
      </c>
      <c r="G8">
        <v>2</v>
      </c>
      <c r="H8" s="13">
        <v>46267</v>
      </c>
      <c r="I8" t="s">
        <v>110</v>
      </c>
      <c r="J8">
        <v>89461</v>
      </c>
      <c r="K8" t="s">
        <v>111</v>
      </c>
      <c r="L8">
        <v>548966</v>
      </c>
      <c r="M8" s="13" t="str">
        <f>TEXT(VENTAS[[#This Row],[FECHA DE TRANSACCION]],"MMMM")</f>
        <v>septiembre</v>
      </c>
      <c r="N8">
        <f>YEAR(VENTAS[[#This Row],[FECHA DE TRANSACCION]])</f>
        <v>2026</v>
      </c>
    </row>
    <row r="9" spans="1:14" x14ac:dyDescent="0.3">
      <c r="A9" t="s">
        <v>95</v>
      </c>
      <c r="B9" t="s">
        <v>13</v>
      </c>
      <c r="C9" t="str">
        <f>IF(VENTAS[[#This Row],[COD. PRODUCTO]]="","",VLOOKUP(VENTAS[[#This Row],[COD. PRODUCTO]],COD_PROD[],2,FALSE))</f>
        <v>CLOSET 4C</v>
      </c>
      <c r="D9">
        <v>1</v>
      </c>
      <c r="E9" s="5">
        <f>IF(VENTAS[[#This Row],[COD. PRODUCTO]]="",0,VLOOKUP(VENTAS[[#This Row],[COD. PRODUCTO]],COD_PROD[],7,FALSE))</f>
        <v>4615.3846153846152</v>
      </c>
      <c r="F9" s="5">
        <f>VENTAS[[#This Row],[CANTIDAD]]*VENTAS[[#This Row],[PRECIO UNITARIO]]</f>
        <v>4615.3846153846152</v>
      </c>
      <c r="G9">
        <v>2</v>
      </c>
      <c r="H9" s="13">
        <v>46267</v>
      </c>
      <c r="I9" t="s">
        <v>110</v>
      </c>
      <c r="J9">
        <v>89461</v>
      </c>
      <c r="K9" t="s">
        <v>111</v>
      </c>
      <c r="L9">
        <v>548966</v>
      </c>
      <c r="M9" s="13" t="str">
        <f>TEXT(VENTAS[[#This Row],[FECHA DE TRANSACCION]],"MMMM")</f>
        <v>septiembre</v>
      </c>
      <c r="N9">
        <f>YEAR(VENTAS[[#This Row],[FECHA DE TRANSACCION]])</f>
        <v>2026</v>
      </c>
    </row>
    <row r="10" spans="1:14" x14ac:dyDescent="0.3">
      <c r="A10" t="s">
        <v>95</v>
      </c>
      <c r="B10" t="s">
        <v>15</v>
      </c>
      <c r="C10" t="str">
        <f>IF(VENTAS[[#This Row],[COD. PRODUCTO]]="","",VLOOKUP(VENTAS[[#This Row],[COD. PRODUCTO]],COD_PROD[],2,FALSE))</f>
        <v>COMEDOR 6S</v>
      </c>
      <c r="D10">
        <v>1</v>
      </c>
      <c r="E10" s="5">
        <f>IF(VENTAS[[#This Row],[COD. PRODUCTO]]="",0,VLOOKUP(VENTAS[[#This Row],[COD. PRODUCTO]],COD_PROD[],7,FALSE))</f>
        <v>5000</v>
      </c>
      <c r="F10" s="5">
        <f>VENTAS[[#This Row],[CANTIDAD]]*VENTAS[[#This Row],[PRECIO UNITARIO]]</f>
        <v>5000</v>
      </c>
      <c r="G10">
        <v>2</v>
      </c>
      <c r="H10" s="13">
        <v>46267</v>
      </c>
      <c r="I10" t="s">
        <v>110</v>
      </c>
      <c r="J10">
        <v>89461</v>
      </c>
      <c r="K10" t="s">
        <v>111</v>
      </c>
      <c r="L10">
        <v>548966</v>
      </c>
      <c r="M10" s="13" t="str">
        <f>TEXT(VENTAS[[#This Row],[FECHA DE TRANSACCION]],"MMMM")</f>
        <v>septiembre</v>
      </c>
      <c r="N10">
        <f>YEAR(VENTAS[[#This Row],[FECHA DE TRANSACCION]])</f>
        <v>2026</v>
      </c>
    </row>
    <row r="11" spans="1:14" x14ac:dyDescent="0.3">
      <c r="A11" t="s">
        <v>99</v>
      </c>
      <c r="B11" t="s">
        <v>101</v>
      </c>
      <c r="C11" t="str">
        <f>IF(VENTAS[[#This Row],[COD. PRODUCTO]]="","",VLOOKUP(VENTAS[[#This Row],[COD. PRODUCTO]],COD_PROD[],2,FALSE))</f>
        <v>TV 43' LED</v>
      </c>
      <c r="D11">
        <v>2</v>
      </c>
      <c r="E11" s="5">
        <f>IF(VENTAS[[#This Row],[COD. PRODUCTO]]="",0,VLOOKUP(VENTAS[[#This Row],[COD. PRODUCTO]],COD_PROD[],7,FALSE))</f>
        <v>4600</v>
      </c>
      <c r="F11" s="5">
        <f>VENTAS[[#This Row],[CANTIDAD]]*VENTAS[[#This Row],[PRECIO UNITARIO]]</f>
        <v>9200</v>
      </c>
      <c r="G11">
        <v>3</v>
      </c>
      <c r="H11" s="13">
        <v>46267</v>
      </c>
      <c r="I11" t="s">
        <v>117</v>
      </c>
      <c r="J11">
        <v>461613</v>
      </c>
      <c r="K11" t="s">
        <v>111</v>
      </c>
      <c r="L11">
        <v>213165</v>
      </c>
      <c r="M11" s="13" t="str">
        <f>TEXT(VENTAS[[#This Row],[FECHA DE TRANSACCION]],"MMMM")</f>
        <v>septiembre</v>
      </c>
      <c r="N11">
        <f>YEAR(VENTAS[[#This Row],[FECHA DE TRANSACCION]])</f>
        <v>2026</v>
      </c>
    </row>
    <row r="12" spans="1:14" x14ac:dyDescent="0.3">
      <c r="A12" t="s">
        <v>99</v>
      </c>
      <c r="B12" t="s">
        <v>15</v>
      </c>
      <c r="C12" t="str">
        <f>IF(VENTAS[[#This Row],[COD. PRODUCTO]]="","",VLOOKUP(VENTAS[[#This Row],[COD. PRODUCTO]],COD_PROD[],2,FALSE))</f>
        <v>COMEDOR 6S</v>
      </c>
      <c r="D12">
        <v>1</v>
      </c>
      <c r="E12" s="5">
        <f>IF(VENTAS[[#This Row],[COD. PRODUCTO]]="",0,VLOOKUP(VENTAS[[#This Row],[COD. PRODUCTO]],COD_PROD[],7,FALSE))</f>
        <v>5000</v>
      </c>
      <c r="F12" s="5">
        <f>VENTAS[[#This Row],[CANTIDAD]]*VENTAS[[#This Row],[PRECIO UNITARIO]]</f>
        <v>5000</v>
      </c>
      <c r="G12">
        <v>3</v>
      </c>
      <c r="H12" s="13">
        <v>46267</v>
      </c>
      <c r="I12" t="s">
        <v>117</v>
      </c>
      <c r="J12">
        <v>461613</v>
      </c>
      <c r="K12" t="s">
        <v>111</v>
      </c>
      <c r="L12">
        <v>213165</v>
      </c>
      <c r="M12" s="13" t="str">
        <f>TEXT(VENTAS[[#This Row],[FECHA DE TRANSACCION]],"MMMM")</f>
        <v>septiembre</v>
      </c>
      <c r="N12">
        <f>YEAR(VENTAS[[#This Row],[FECHA DE TRANSACCION]])</f>
        <v>2026</v>
      </c>
    </row>
    <row r="13" spans="1:14" x14ac:dyDescent="0.3">
      <c r="A13" t="s">
        <v>97</v>
      </c>
      <c r="B13" t="s">
        <v>58</v>
      </c>
      <c r="C13" t="str">
        <f>IF(VENTAS[[#This Row],[COD. PRODUCTO]]="","",VLOOKUP(VENTAS[[#This Row],[COD. PRODUCTO]],COD_PROD[],2,FALSE))</f>
        <v>ESTUFA 4H</v>
      </c>
      <c r="D13">
        <v>2</v>
      </c>
      <c r="E13" s="5">
        <f>IF(VENTAS[[#This Row],[COD. PRODUCTO]]="",0,VLOOKUP(VENTAS[[#This Row],[COD. PRODUCTO]],COD_PROD[],7,FALSE))</f>
        <v>2569.791666666667</v>
      </c>
      <c r="F13" s="5">
        <f>VENTAS[[#This Row],[CANTIDAD]]*VENTAS[[#This Row],[PRECIO UNITARIO]]</f>
        <v>5139.5833333333339</v>
      </c>
      <c r="G13">
        <v>4</v>
      </c>
      <c r="H13" s="13">
        <v>46267</v>
      </c>
      <c r="I13" t="s">
        <v>118</v>
      </c>
      <c r="J13">
        <v>15165</v>
      </c>
      <c r="K13" t="s">
        <v>89</v>
      </c>
      <c r="L13">
        <v>12134855</v>
      </c>
      <c r="M13" s="13" t="str">
        <f>TEXT(VENTAS[[#This Row],[FECHA DE TRANSACCION]],"MMMM")</f>
        <v>septiembre</v>
      </c>
      <c r="N13">
        <f>YEAR(VENTAS[[#This Row],[FECHA DE TRANSACCION]])</f>
        <v>2026</v>
      </c>
    </row>
  </sheetData>
  <sheetProtection algorithmName="SHA-512" hashValue="n+el6lNBdtBHG1fQ7Mh3b5QnaLHEJXq/5gMMoR4JUQTUqScJoz6x5MADOrChpWOEOoii5Zauz54mio81ZXndFw==" saltValue="ybCIZZFFbSUAC3QyG31szg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2CA9-BC91-4285-83F8-06ADD288F357}">
  <sheetPr codeName="Hoja7"/>
  <dimension ref="A2:E25"/>
  <sheetViews>
    <sheetView workbookViewId="0">
      <selection activeCell="C16" sqref="C16"/>
    </sheetView>
  </sheetViews>
  <sheetFormatPr baseColWidth="10" defaultRowHeight="14.4" x14ac:dyDescent="0.3"/>
  <cols>
    <col min="1" max="1" width="17.109375" customWidth="1"/>
    <col min="2" max="2" width="32.21875" bestFit="1" customWidth="1"/>
    <col min="3" max="3" width="16.88671875" customWidth="1"/>
    <col min="4" max="4" width="19.33203125" customWidth="1"/>
    <col min="5" max="5" width="13.33203125" customWidth="1"/>
  </cols>
  <sheetData>
    <row r="2" spans="2:4" x14ac:dyDescent="0.3">
      <c r="B2" s="60" t="s">
        <v>92</v>
      </c>
      <c r="C2" s="60"/>
      <c r="D2" s="60"/>
    </row>
    <row r="3" spans="2:4" x14ac:dyDescent="0.3">
      <c r="B3" s="15" t="s">
        <v>90</v>
      </c>
      <c r="C3" s="44"/>
      <c r="D3" s="44"/>
    </row>
    <row r="4" spans="2:4" x14ac:dyDescent="0.3">
      <c r="B4" s="15" t="s">
        <v>91</v>
      </c>
      <c r="C4" s="59"/>
      <c r="D4" s="59"/>
    </row>
    <row r="5" spans="2:4" x14ac:dyDescent="0.3">
      <c r="C5" s="16"/>
      <c r="D5" s="16"/>
    </row>
    <row r="15" spans="2:4" x14ac:dyDescent="0.3">
      <c r="B15" s="18" t="s">
        <v>112</v>
      </c>
      <c r="C15" s="18" t="s">
        <v>113</v>
      </c>
    </row>
    <row r="16" spans="2:4" x14ac:dyDescent="0.3">
      <c r="B16" s="11" t="s">
        <v>114</v>
      </c>
      <c r="C16" s="11">
        <v>2026</v>
      </c>
    </row>
    <row r="19" spans="1:5" x14ac:dyDescent="0.3">
      <c r="A19" t="s">
        <v>62</v>
      </c>
      <c r="B19" t="s">
        <v>76</v>
      </c>
      <c r="C19" s="16" t="s">
        <v>77</v>
      </c>
      <c r="D19" t="s">
        <v>78</v>
      </c>
      <c r="E19" t="s">
        <v>79</v>
      </c>
    </row>
    <row r="20" spans="1:5" x14ac:dyDescent="0.3">
      <c r="C20" s="17"/>
      <c r="D20" s="8">
        <f>SUMIFS(VENTAS[SUB TOTAL],VENTAS[VENDEDOR],VENDEDORES[[#This Row],[NOMBRE]],VENTAS[MES],$B$16,VENTAS[AÑO],$C$16)</f>
        <v>0</v>
      </c>
      <c r="E20" s="8">
        <f>VENDEDORES[[#This Row],[META MENSUAL]]-VENDEDORES[[#This Row],[ALCANCE DE META ]]</f>
        <v>0</v>
      </c>
    </row>
    <row r="21" spans="1:5" x14ac:dyDescent="0.3">
      <c r="A21" t="s">
        <v>94</v>
      </c>
      <c r="B21" t="s">
        <v>93</v>
      </c>
      <c r="C21" s="17">
        <v>55000</v>
      </c>
      <c r="D21" s="8">
        <f>SUMIFS(VENTAS[SUB TOTAL],VENTAS[VENDEDOR],VENDEDORES[[#This Row],[NOMBRE]],VENTAS[MES],$B$16,VENTAS[AÑO],$C$16)</f>
        <v>12679.634146341463</v>
      </c>
      <c r="E21" s="8">
        <f>VENDEDORES[[#This Row],[META MENSUAL]]-VENDEDORES[[#This Row],[ALCANCE DE META ]]</f>
        <v>42320.365853658535</v>
      </c>
    </row>
    <row r="22" spans="1:5" x14ac:dyDescent="0.3">
      <c r="A22" t="s">
        <v>96</v>
      </c>
      <c r="B22" t="s">
        <v>95</v>
      </c>
      <c r="C22" s="17">
        <v>50000</v>
      </c>
      <c r="D22" s="8">
        <f>SUMIFS(VENTAS[SUB TOTAL],VENTAS[VENDEDOR],VENDEDORES[[#This Row],[NOMBRE]],VENTAS[MES],$B$16,VENTAS[AÑO],$C$16)</f>
        <v>13615.384615384615</v>
      </c>
      <c r="E22" s="8">
        <f>VENDEDORES[[#This Row],[META MENSUAL]]-VENDEDORES[[#This Row],[ALCANCE DE META ]]</f>
        <v>36384.615384615383</v>
      </c>
    </row>
    <row r="23" spans="1:5" x14ac:dyDescent="0.3">
      <c r="A23" t="s">
        <v>98</v>
      </c>
      <c r="B23" t="s">
        <v>97</v>
      </c>
      <c r="C23" s="17">
        <v>50000</v>
      </c>
      <c r="D23" s="8">
        <f>SUMIFS(VENTAS[SUB TOTAL],VENTAS[VENDEDOR],VENDEDORES[[#This Row],[NOMBRE]],VENTAS[MES],$B$16,VENTAS[AÑO],$C$16)</f>
        <v>5139.5833333333339</v>
      </c>
      <c r="E23" s="8">
        <f>VENDEDORES[[#This Row],[META MENSUAL]]-VENDEDORES[[#This Row],[ALCANCE DE META ]]</f>
        <v>44860.416666666664</v>
      </c>
    </row>
    <row r="24" spans="1:5" x14ac:dyDescent="0.3">
      <c r="A24" t="s">
        <v>100</v>
      </c>
      <c r="B24" t="s">
        <v>99</v>
      </c>
      <c r="C24" s="17">
        <v>55000</v>
      </c>
      <c r="D24" s="8">
        <f>SUMIFS(VENTAS[SUB TOTAL],VENTAS[VENDEDOR],VENDEDORES[[#This Row],[NOMBRE]],VENTAS[MES],$B$16,VENTAS[AÑO],$C$16)</f>
        <v>14200</v>
      </c>
      <c r="E24" s="8">
        <f>VENDEDORES[[#This Row],[META MENSUAL]]-VENDEDORES[[#This Row],[ALCANCE DE META ]]</f>
        <v>40800</v>
      </c>
    </row>
    <row r="25" spans="1:5" x14ac:dyDescent="0.3">
      <c r="A25" t="s">
        <v>116</v>
      </c>
      <c r="B25" t="s">
        <v>115</v>
      </c>
      <c r="C25" s="17">
        <v>50000</v>
      </c>
      <c r="D25" s="8">
        <f>SUMIFS(VENTAS[SUB TOTAL],VENTAS[VENDEDOR],VENDEDORES[[#This Row],[NOMBRE]],VENTAS[MES],$B$16,VENTAS[AÑO],$C$16)</f>
        <v>0</v>
      </c>
      <c r="E25" s="8">
        <f>VENDEDORES[[#This Row],[META MENSUAL]]-VENDEDORES[[#This Row],[ALCANCE DE META ]]</f>
        <v>50000</v>
      </c>
    </row>
  </sheetData>
  <sheetProtection algorithmName="SHA-512" hashValue="JnULxTV8elBleJUngsofG3WeSqI/VRVYnOuywLnApWodUyzZxaVUk2LeUk74GzZ9Pvggg5Kfs8HU/E03fl7kVw==" saltValue="TnuJ7bQaYQ1WTneb6WNQtA==" spinCount="100000" sheet="1" objects="1" scenarios="1" selectLockedCells="1"/>
  <mergeCells count="3">
    <mergeCell ref="C3:D3"/>
    <mergeCell ref="C4:D4"/>
    <mergeCell ref="B2:D2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INGRESO</vt:lpstr>
      <vt:lpstr>BASE</vt:lpstr>
      <vt:lpstr>NUEVO COD</vt:lpstr>
      <vt:lpstr>STOCK</vt:lpstr>
      <vt:lpstr>FACTURAR</vt:lpstr>
      <vt:lpstr>VENTAS</vt:lpstr>
      <vt:lpstr>EMPLEADO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del cid</dc:creator>
  <cp:lastModifiedBy>alejandro del cid</cp:lastModifiedBy>
  <dcterms:created xsi:type="dcterms:W3CDTF">2026-08-22T20:21:40Z</dcterms:created>
  <dcterms:modified xsi:type="dcterms:W3CDTF">2026-09-02T19:12:27Z</dcterms:modified>
</cp:coreProperties>
</file>